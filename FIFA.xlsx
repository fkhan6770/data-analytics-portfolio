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tics-portfolio\"/>
    </mc:Choice>
  </mc:AlternateContent>
  <xr:revisionPtr revIDLastSave="0" documentId="13_ncr:1_{25E730D9-4524-4C8C-9DF6-90B663A03DCA}" xr6:coauthVersionLast="47" xr6:coauthVersionMax="47" xr10:uidLastSave="{00000000-0000-0000-0000-000000000000}"/>
  <bookViews>
    <workbookView xWindow="-108" yWindow="-108" windowWidth="24792" windowHeight="13320" xr2:uid="{BB1EA6DA-86EB-4FC3-997E-079B42B60F51}"/>
  </bookViews>
  <sheets>
    <sheet name="GROUP 1" sheetId="2" r:id="rId1"/>
    <sheet name="FIFA-2026 G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0" i="1"/>
  <c r="H11" i="1"/>
  <c r="H12" i="1"/>
  <c r="H13" i="1"/>
  <c r="H3" i="1"/>
  <c r="H4" i="1"/>
  <c r="H5" i="1"/>
  <c r="H6" i="1"/>
  <c r="H7" i="1"/>
  <c r="H8" i="1"/>
  <c r="H9" i="1"/>
  <c r="H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I28" i="1" s="1"/>
  <c r="G29" i="1"/>
  <c r="G30" i="1"/>
  <c r="G31" i="1"/>
  <c r="G32" i="1"/>
  <c r="G33" i="1"/>
  <c r="G34" i="1"/>
  <c r="G35" i="1"/>
  <c r="G36" i="1"/>
  <c r="G37" i="1"/>
  <c r="G38" i="1"/>
  <c r="G39" i="1"/>
  <c r="G40" i="1"/>
  <c r="I40" i="1" s="1"/>
  <c r="G41" i="1"/>
  <c r="G42" i="1"/>
  <c r="G43" i="1"/>
  <c r="G44" i="1"/>
  <c r="G45" i="1"/>
  <c r="G46" i="1"/>
  <c r="G47" i="1"/>
  <c r="G48" i="1"/>
  <c r="G49" i="1"/>
  <c r="G8" i="1"/>
  <c r="G9" i="1"/>
  <c r="G10" i="1"/>
  <c r="G11" i="1"/>
  <c r="G3" i="1"/>
  <c r="G4" i="1"/>
  <c r="G5" i="1"/>
  <c r="G6" i="1"/>
  <c r="G7" i="1"/>
  <c r="G2" i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2" i="1" a="1"/>
  <c r="E2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3" i="1" a="1"/>
  <c r="D3" i="1" s="1"/>
  <c r="D4" i="1" a="1"/>
  <c r="D4" i="1" s="1"/>
  <c r="D5" i="1" a="1"/>
  <c r="D5" i="1" s="1"/>
  <c r="D2" i="1" a="1"/>
  <c r="D2" i="1" s="1"/>
  <c r="C5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I16" i="1" l="1"/>
  <c r="I45" i="1"/>
  <c r="I10" i="1"/>
  <c r="I39" i="1"/>
  <c r="I27" i="1"/>
  <c r="I15" i="1"/>
  <c r="I5" i="1"/>
  <c r="I44" i="1"/>
  <c r="I32" i="1"/>
  <c r="I20" i="1"/>
  <c r="I11" i="1"/>
  <c r="I41" i="1"/>
  <c r="I29" i="1"/>
  <c r="I17" i="1"/>
  <c r="I4" i="1"/>
  <c r="I43" i="1"/>
  <c r="I31" i="1"/>
  <c r="I19" i="1"/>
  <c r="I3" i="1"/>
  <c r="I42" i="1"/>
  <c r="I30" i="1"/>
  <c r="I18" i="1"/>
  <c r="I9" i="1"/>
  <c r="I49" i="1"/>
  <c r="I37" i="1"/>
  <c r="I25" i="1"/>
  <c r="I48" i="1"/>
  <c r="I36" i="1"/>
  <c r="I24" i="1"/>
  <c r="I33" i="1"/>
  <c r="J39" i="1"/>
  <c r="J27" i="1"/>
  <c r="J15" i="1"/>
  <c r="I47" i="1"/>
  <c r="I35" i="1"/>
  <c r="I23" i="1"/>
  <c r="I21" i="1"/>
  <c r="I8" i="1"/>
  <c r="J43" i="1"/>
  <c r="J19" i="1"/>
  <c r="I13" i="1"/>
  <c r="I14" i="1"/>
  <c r="J26" i="1"/>
  <c r="J31" i="1"/>
  <c r="J7" i="1"/>
  <c r="J3" i="1"/>
  <c r="I12" i="1"/>
  <c r="I38" i="1"/>
  <c r="I26" i="1"/>
  <c r="J38" i="1"/>
  <c r="J14" i="1"/>
  <c r="J49" i="1"/>
  <c r="J37" i="1"/>
  <c r="J25" i="1"/>
  <c r="J13" i="1"/>
  <c r="I7" i="1"/>
  <c r="I46" i="1"/>
  <c r="I34" i="1"/>
  <c r="I22" i="1"/>
  <c r="I6" i="1"/>
  <c r="J36" i="1"/>
  <c r="J12" i="1"/>
  <c r="J47" i="1"/>
  <c r="J35" i="1"/>
  <c r="J23" i="1"/>
  <c r="J11" i="1"/>
  <c r="J48" i="1"/>
  <c r="J24" i="1"/>
  <c r="J46" i="1"/>
  <c r="J34" i="1"/>
  <c r="J22" i="1"/>
  <c r="J10" i="1"/>
  <c r="J45" i="1"/>
  <c r="J9" i="1"/>
  <c r="J30" i="1"/>
  <c r="J18" i="1"/>
  <c r="J6" i="1"/>
  <c r="J33" i="1"/>
  <c r="J42" i="1"/>
  <c r="J44" i="1"/>
  <c r="J32" i="1"/>
  <c r="J20" i="1"/>
  <c r="J8" i="1"/>
  <c r="J41" i="1"/>
  <c r="J29" i="1"/>
  <c r="J17" i="1"/>
  <c r="J5" i="1"/>
  <c r="J21" i="1"/>
  <c r="J40" i="1"/>
  <c r="J28" i="1"/>
  <c r="J16" i="1"/>
  <c r="J4" i="1"/>
  <c r="F29" i="1"/>
  <c r="F17" i="1"/>
  <c r="F41" i="1"/>
  <c r="F40" i="1"/>
  <c r="F16" i="1"/>
  <c r="F27" i="1"/>
  <c r="F15" i="1"/>
  <c r="F39" i="1"/>
  <c r="F28" i="1"/>
  <c r="F49" i="1"/>
  <c r="F37" i="1"/>
  <c r="F48" i="1"/>
  <c r="F36" i="1"/>
  <c r="F47" i="1"/>
  <c r="F38" i="1"/>
  <c r="F26" i="1"/>
  <c r="F14" i="1"/>
  <c r="F3" i="1"/>
  <c r="F34" i="1"/>
  <c r="F4" i="1"/>
  <c r="F25" i="1"/>
  <c r="F35" i="1"/>
  <c r="F46" i="1"/>
  <c r="F45" i="1"/>
  <c r="F33" i="1"/>
  <c r="F5" i="1"/>
  <c r="F12" i="1"/>
  <c r="F23" i="1"/>
  <c r="F22" i="1"/>
  <c r="F10" i="1"/>
  <c r="F9" i="1"/>
  <c r="F44" i="1"/>
  <c r="F13" i="1"/>
  <c r="F11" i="1"/>
  <c r="F21" i="1"/>
  <c r="F20" i="1"/>
  <c r="F43" i="1"/>
  <c r="F19" i="1"/>
  <c r="F7" i="1"/>
  <c r="F24" i="1"/>
  <c r="F8" i="1"/>
  <c r="F31" i="1"/>
  <c r="F42" i="1"/>
  <c r="F30" i="1"/>
  <c r="F18" i="1"/>
  <c r="F6" i="1"/>
  <c r="F32" i="1"/>
  <c r="F2" i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<sst xmlns="http://schemas.openxmlformats.org/spreadsheetml/2006/main" count="401" uniqueCount="103">
  <si>
    <t>Team</t>
  </si>
  <si>
    <t>MP</t>
  </si>
  <si>
    <t>W</t>
  </si>
  <si>
    <t>D</t>
  </si>
  <si>
    <t>L</t>
  </si>
  <si>
    <t>GF</t>
  </si>
  <si>
    <t>GA</t>
  </si>
  <si>
    <t>GD</t>
  </si>
  <si>
    <t>Pts</t>
  </si>
  <si>
    <t>Mexico</t>
  </si>
  <si>
    <t>South Africa</t>
  </si>
  <si>
    <t>South Korea</t>
  </si>
  <si>
    <t>Czech Republic</t>
  </si>
  <si>
    <t>MATCH</t>
  </si>
  <si>
    <t>DATE</t>
  </si>
  <si>
    <t>GROUP</t>
  </si>
  <si>
    <t>HOME TEAM</t>
  </si>
  <si>
    <t>AWAY TEAM</t>
  </si>
  <si>
    <t>HOME GOALS</t>
  </si>
  <si>
    <t>AWAY GOALS</t>
  </si>
  <si>
    <t>11 Jun 2026</t>
  </si>
  <si>
    <t>Group A</t>
  </si>
  <si>
    <t>18 Jun 2026</t>
  </si>
  <si>
    <t>24 Jun 2026</t>
  </si>
  <si>
    <t>12 Jun 2026</t>
  </si>
  <si>
    <t>Group B</t>
  </si>
  <si>
    <t>Canada</t>
  </si>
  <si>
    <t>Bosnia &amp; Herz.</t>
  </si>
  <si>
    <t>13 Jun 2026</t>
  </si>
  <si>
    <t>Switzerland</t>
  </si>
  <si>
    <t>Qatar</t>
  </si>
  <si>
    <t>Group C</t>
  </si>
  <si>
    <t>Brazil</t>
  </si>
  <si>
    <t>Morocco</t>
  </si>
  <si>
    <t>Scotland</t>
  </si>
  <si>
    <t>Haiti</t>
  </si>
  <si>
    <t>19 Jun 2026</t>
  </si>
  <si>
    <t>Group D</t>
  </si>
  <si>
    <t>USA</t>
  </si>
  <si>
    <t>Paraguay</t>
  </si>
  <si>
    <t>Australia</t>
  </si>
  <si>
    <t>Türkiye</t>
  </si>
  <si>
    <t>25 Jun 2026</t>
  </si>
  <si>
    <t>14 Jun 2026</t>
  </si>
  <si>
    <t>Group E</t>
  </si>
  <si>
    <t>Germany</t>
  </si>
  <si>
    <t>Curaçao</t>
  </si>
  <si>
    <t>Ivory Coast</t>
  </si>
  <si>
    <t>Ecuador</t>
  </si>
  <si>
    <t>20 Jun 2026</t>
  </si>
  <si>
    <t>Group F</t>
  </si>
  <si>
    <t>Netherlands</t>
  </si>
  <si>
    <t>Japan</t>
  </si>
  <si>
    <t>Sweden</t>
  </si>
  <si>
    <t>Tunisia</t>
  </si>
  <si>
    <t>15 Jun 2026</t>
  </si>
  <si>
    <t>Group G</t>
  </si>
  <si>
    <t>Belgium</t>
  </si>
  <si>
    <t>Egypt</t>
  </si>
  <si>
    <t>Iran</t>
  </si>
  <si>
    <t>New Zealand</t>
  </si>
  <si>
    <t>21 Jun 2026</t>
  </si>
  <si>
    <t>26 Jun 2026</t>
  </si>
  <si>
    <t>Group H</t>
  </si>
  <si>
    <t>Spain</t>
  </si>
  <si>
    <t>Cape Verde</t>
  </si>
  <si>
    <t>Saudi Arabia</t>
  </si>
  <si>
    <t>Uruguay</t>
  </si>
  <si>
    <t>16 Jun 2026</t>
  </si>
  <si>
    <t>Group I</t>
  </si>
  <si>
    <t>France</t>
  </si>
  <si>
    <t>Senegal</t>
  </si>
  <si>
    <t>Norway</t>
  </si>
  <si>
    <t>Iraq</t>
  </si>
  <si>
    <t>22 Jun 2026</t>
  </si>
  <si>
    <t>Group J</t>
  </si>
  <si>
    <t>Argentina</t>
  </si>
  <si>
    <t>Algeria</t>
  </si>
  <si>
    <t>Austria</t>
  </si>
  <si>
    <t>Jordan</t>
  </si>
  <si>
    <t>27 Jun 2026</t>
  </si>
  <si>
    <t>17 Jun 2026</t>
  </si>
  <si>
    <t>Group K</t>
  </si>
  <si>
    <t>Portugal</t>
  </si>
  <si>
    <t>DR Congo</t>
  </si>
  <si>
    <t>Colombia</t>
  </si>
  <si>
    <t>Uzbekistan</t>
  </si>
  <si>
    <t>23 Jun 2026</t>
  </si>
  <si>
    <t>Group L</t>
  </si>
  <si>
    <t>England</t>
  </si>
  <si>
    <t>Croatia</t>
  </si>
  <si>
    <t>Ghana</t>
  </si>
  <si>
    <t>Panama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</si>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</sst>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/>
    <xf numFmtId="0" fontId="1" fillId="0" borderId="0" xfId="0" applyFont="1"/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548580</xdr:colOff>
      <xdr:row>6</xdr:row>
      <xdr:rowOff>121680</xdr:rowOff>
    </xdr:from>
    <xdr:to>
      <xdr:col>8</xdr:col>
      <xdr:colOff>548940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548580</xdr:colOff>
      <xdr:row>14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AD34453-3046-46C0-9089-EE6E6EF29E25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22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2FE4899-55B9-4E5D-B1A1-D7628F250994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30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12AAE40-0B8A-4391-BDB4-5AEB0D099887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38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5BC599F-5DF8-4A44-8923-FAD043AE5534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46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0A18717-3E03-4378-AF60-8FEE3387DF3A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1:39:48.53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5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1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2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7C48-8229-4FB4-8B7A-ED153A6D01FB}">
  <dimension ref="A1:G75"/>
  <sheetViews>
    <sheetView tabSelected="1" zoomScale="80" zoomScaleNormal="80" workbookViewId="0">
      <selection activeCell="K12" sqref="K12"/>
    </sheetView>
  </sheetViews>
  <sheetFormatPr defaultRowHeight="31.8" customHeight="1" x14ac:dyDescent="0.3"/>
  <cols>
    <col min="1" max="1" width="11.77734375" customWidth="1"/>
    <col min="2" max="2" width="21" style="7" customWidth="1"/>
    <col min="3" max="3" width="17.5546875" style="7" customWidth="1"/>
    <col min="4" max="4" width="25.6640625" style="13" customWidth="1"/>
    <col min="5" max="5" width="23.21875" style="10" customWidth="1"/>
    <col min="6" max="7" width="19.44140625" style="7" customWidth="1"/>
  </cols>
  <sheetData>
    <row r="1" spans="1:7" ht="31.8" customHeight="1" x14ac:dyDescent="0.3">
      <c r="A1" s="5" t="s">
        <v>13</v>
      </c>
      <c r="B1" s="5" t="s">
        <v>14</v>
      </c>
      <c r="C1" s="5" t="s">
        <v>15</v>
      </c>
      <c r="D1" s="11" t="s">
        <v>16</v>
      </c>
      <c r="E1" s="5" t="s">
        <v>17</v>
      </c>
      <c r="F1" s="5" t="s">
        <v>18</v>
      </c>
      <c r="G1" s="5" t="s">
        <v>19</v>
      </c>
    </row>
    <row r="2" spans="1:7" ht="31.8" customHeight="1" x14ac:dyDescent="0.45">
      <c r="A2" s="6">
        <v>1</v>
      </c>
      <c r="B2" s="6" t="s">
        <v>20</v>
      </c>
      <c r="C2" s="6" t="s">
        <v>21</v>
      </c>
      <c r="D2" s="12" t="s">
        <v>9</v>
      </c>
      <c r="E2" s="9" t="s">
        <v>10</v>
      </c>
      <c r="F2" s="6">
        <v>2</v>
      </c>
      <c r="G2" s="6">
        <v>3</v>
      </c>
    </row>
    <row r="3" spans="1:7" ht="31.8" customHeight="1" x14ac:dyDescent="0.45">
      <c r="A3" s="6">
        <v>2</v>
      </c>
      <c r="B3" s="6" t="s">
        <v>20</v>
      </c>
      <c r="C3" s="6" t="s">
        <v>21</v>
      </c>
      <c r="D3" s="12" t="s">
        <v>11</v>
      </c>
      <c r="E3" s="9" t="s">
        <v>12</v>
      </c>
      <c r="F3" s="6">
        <v>2</v>
      </c>
      <c r="G3" s="6">
        <v>1</v>
      </c>
    </row>
    <row r="4" spans="1:7" ht="31.8" customHeight="1" x14ac:dyDescent="0.45">
      <c r="A4" s="6">
        <v>3</v>
      </c>
      <c r="B4" s="6" t="s">
        <v>24</v>
      </c>
      <c r="C4" s="6" t="s">
        <v>25</v>
      </c>
      <c r="D4" s="12" t="s">
        <v>26</v>
      </c>
      <c r="E4" s="9" t="s">
        <v>27</v>
      </c>
      <c r="F4" s="6">
        <v>1</v>
      </c>
      <c r="G4" s="6">
        <v>1</v>
      </c>
    </row>
    <row r="5" spans="1:7" ht="31.8" customHeight="1" x14ac:dyDescent="0.45">
      <c r="A5" s="6">
        <v>4</v>
      </c>
      <c r="B5" s="6" t="s">
        <v>24</v>
      </c>
      <c r="C5" s="6" t="s">
        <v>37</v>
      </c>
      <c r="D5" s="12" t="s">
        <v>38</v>
      </c>
      <c r="E5" s="9" t="s">
        <v>39</v>
      </c>
      <c r="F5" s="6">
        <v>4</v>
      </c>
      <c r="G5" s="6">
        <v>1</v>
      </c>
    </row>
    <row r="6" spans="1:7" ht="31.8" customHeight="1" x14ac:dyDescent="0.45">
      <c r="A6" s="6">
        <v>5</v>
      </c>
      <c r="B6" s="6" t="s">
        <v>28</v>
      </c>
      <c r="C6" s="6" t="s">
        <v>25</v>
      </c>
      <c r="D6" s="12" t="s">
        <v>29</v>
      </c>
      <c r="E6" s="9" t="s">
        <v>30</v>
      </c>
      <c r="F6" s="6">
        <v>1</v>
      </c>
      <c r="G6" s="6">
        <v>1</v>
      </c>
    </row>
    <row r="7" spans="1:7" ht="31.8" customHeight="1" x14ac:dyDescent="0.45">
      <c r="A7" s="6">
        <v>6</v>
      </c>
      <c r="B7" s="6" t="s">
        <v>28</v>
      </c>
      <c r="C7" s="6" t="s">
        <v>31</v>
      </c>
      <c r="D7" s="12" t="s">
        <v>32</v>
      </c>
      <c r="E7" s="9" t="s">
        <v>33</v>
      </c>
      <c r="F7" s="6">
        <v>1</v>
      </c>
      <c r="G7" s="6">
        <v>1</v>
      </c>
    </row>
    <row r="8" spans="1:7" ht="31.8" customHeight="1" x14ac:dyDescent="0.45">
      <c r="A8" s="6">
        <v>7</v>
      </c>
      <c r="B8" s="6" t="s">
        <v>28</v>
      </c>
      <c r="C8" s="6" t="s">
        <v>31</v>
      </c>
      <c r="D8" s="12" t="s">
        <v>34</v>
      </c>
      <c r="E8" s="9" t="s">
        <v>35</v>
      </c>
      <c r="F8" s="6">
        <v>1</v>
      </c>
      <c r="G8" s="6">
        <v>0</v>
      </c>
    </row>
    <row r="9" spans="1:7" ht="31.8" customHeight="1" x14ac:dyDescent="0.45">
      <c r="A9" s="6">
        <v>8</v>
      </c>
      <c r="B9" s="6" t="s">
        <v>28</v>
      </c>
      <c r="C9" s="6" t="s">
        <v>37</v>
      </c>
      <c r="D9" s="12" t="s">
        <v>40</v>
      </c>
      <c r="E9" s="9" t="s">
        <v>41</v>
      </c>
      <c r="F9" s="6">
        <v>2</v>
      </c>
      <c r="G9" s="6">
        <v>0</v>
      </c>
    </row>
    <row r="10" spans="1:7" ht="31.8" customHeight="1" x14ac:dyDescent="0.45">
      <c r="A10" s="6">
        <v>9</v>
      </c>
      <c r="B10" s="6" t="s">
        <v>43</v>
      </c>
      <c r="C10" s="6" t="s">
        <v>44</v>
      </c>
      <c r="D10" s="12" t="s">
        <v>45</v>
      </c>
      <c r="E10" s="9" t="s">
        <v>46</v>
      </c>
      <c r="F10" s="6">
        <v>7</v>
      </c>
      <c r="G10" s="6">
        <v>1</v>
      </c>
    </row>
    <row r="11" spans="1:7" ht="31.8" customHeight="1" x14ac:dyDescent="0.45">
      <c r="A11" s="6">
        <v>10</v>
      </c>
      <c r="B11" s="6" t="s">
        <v>43</v>
      </c>
      <c r="C11" s="6" t="s">
        <v>44</v>
      </c>
      <c r="D11" s="12" t="s">
        <v>47</v>
      </c>
      <c r="E11" s="9" t="s">
        <v>48</v>
      </c>
      <c r="F11" s="6">
        <v>1</v>
      </c>
      <c r="G11" s="6">
        <v>0</v>
      </c>
    </row>
    <row r="12" spans="1:7" ht="31.8" customHeight="1" x14ac:dyDescent="0.45">
      <c r="A12" s="6">
        <v>11</v>
      </c>
      <c r="B12" s="6" t="s">
        <v>43</v>
      </c>
      <c r="C12" s="6" t="s">
        <v>50</v>
      </c>
      <c r="D12" s="12" t="s">
        <v>51</v>
      </c>
      <c r="E12" s="9" t="s">
        <v>52</v>
      </c>
      <c r="F12" s="6">
        <v>2</v>
      </c>
      <c r="G12" s="6">
        <v>2</v>
      </c>
    </row>
    <row r="13" spans="1:7" ht="31.8" customHeight="1" x14ac:dyDescent="0.45">
      <c r="A13" s="6">
        <v>12</v>
      </c>
      <c r="B13" s="6" t="s">
        <v>43</v>
      </c>
      <c r="C13" s="6" t="s">
        <v>50</v>
      </c>
      <c r="D13" s="12" t="s">
        <v>53</v>
      </c>
      <c r="E13" s="9" t="s">
        <v>54</v>
      </c>
      <c r="F13" s="6">
        <v>5</v>
      </c>
      <c r="G13" s="6">
        <v>1</v>
      </c>
    </row>
    <row r="14" spans="1:7" ht="31.8" customHeight="1" x14ac:dyDescent="0.45">
      <c r="A14" s="6">
        <v>13</v>
      </c>
      <c r="B14" s="6" t="s">
        <v>55</v>
      </c>
      <c r="C14" s="6" t="s">
        <v>56</v>
      </c>
      <c r="D14" s="12" t="s">
        <v>57</v>
      </c>
      <c r="E14" s="9" t="s">
        <v>58</v>
      </c>
      <c r="F14" s="6">
        <v>1</v>
      </c>
      <c r="G14" s="6">
        <v>1</v>
      </c>
    </row>
    <row r="15" spans="1:7" ht="31.8" customHeight="1" x14ac:dyDescent="0.45">
      <c r="A15" s="6">
        <v>14</v>
      </c>
      <c r="B15" s="6" t="s">
        <v>55</v>
      </c>
      <c r="C15" s="6" t="s">
        <v>56</v>
      </c>
      <c r="D15" s="12" t="s">
        <v>59</v>
      </c>
      <c r="E15" s="9" t="s">
        <v>60</v>
      </c>
      <c r="F15" s="6">
        <v>2</v>
      </c>
      <c r="G15" s="6">
        <v>2</v>
      </c>
    </row>
    <row r="16" spans="1:7" ht="31.8" customHeight="1" x14ac:dyDescent="0.45">
      <c r="A16" s="6">
        <v>15</v>
      </c>
      <c r="B16" s="6" t="s">
        <v>55</v>
      </c>
      <c r="C16" s="6" t="s">
        <v>63</v>
      </c>
      <c r="D16" s="12" t="s">
        <v>64</v>
      </c>
      <c r="E16" s="9" t="s">
        <v>65</v>
      </c>
      <c r="F16" s="6">
        <v>0</v>
      </c>
      <c r="G16" s="6">
        <v>0</v>
      </c>
    </row>
    <row r="17" spans="1:7" ht="31.8" customHeight="1" x14ac:dyDescent="0.45">
      <c r="A17" s="6">
        <v>16</v>
      </c>
      <c r="B17" s="6" t="s">
        <v>55</v>
      </c>
      <c r="C17" s="6" t="s">
        <v>63</v>
      </c>
      <c r="D17" s="12" t="s">
        <v>66</v>
      </c>
      <c r="E17" s="9" t="s">
        <v>67</v>
      </c>
      <c r="F17" s="6">
        <v>1</v>
      </c>
      <c r="G17" s="6">
        <v>1</v>
      </c>
    </row>
    <row r="18" spans="1:7" ht="31.8" customHeight="1" x14ac:dyDescent="0.45">
      <c r="A18" s="6">
        <v>17</v>
      </c>
      <c r="B18" s="6" t="s">
        <v>68</v>
      </c>
      <c r="C18" s="6" t="s">
        <v>69</v>
      </c>
      <c r="D18" s="12" t="s">
        <v>70</v>
      </c>
      <c r="E18" s="9" t="s">
        <v>71</v>
      </c>
      <c r="F18" s="6">
        <v>3</v>
      </c>
      <c r="G18" s="6">
        <v>1</v>
      </c>
    </row>
    <row r="19" spans="1:7" ht="31.8" customHeight="1" x14ac:dyDescent="0.45">
      <c r="A19" s="6">
        <v>18</v>
      </c>
      <c r="B19" s="6" t="s">
        <v>68</v>
      </c>
      <c r="C19" s="6" t="s">
        <v>69</v>
      </c>
      <c r="D19" s="12" t="s">
        <v>72</v>
      </c>
      <c r="E19" s="9" t="s">
        <v>73</v>
      </c>
      <c r="F19" s="6">
        <v>4</v>
      </c>
      <c r="G19" s="6">
        <v>1</v>
      </c>
    </row>
    <row r="20" spans="1:7" ht="31.8" customHeight="1" x14ac:dyDescent="0.45">
      <c r="A20" s="6">
        <v>19</v>
      </c>
      <c r="B20" s="6" t="s">
        <v>68</v>
      </c>
      <c r="C20" s="6" t="s">
        <v>75</v>
      </c>
      <c r="D20" s="12" t="s">
        <v>76</v>
      </c>
      <c r="E20" s="9" t="s">
        <v>77</v>
      </c>
      <c r="F20" s="6">
        <v>3</v>
      </c>
      <c r="G20" s="6">
        <v>0</v>
      </c>
    </row>
    <row r="21" spans="1:7" ht="31.8" customHeight="1" x14ac:dyDescent="0.45">
      <c r="A21" s="6">
        <v>20</v>
      </c>
      <c r="B21" s="6" t="s">
        <v>68</v>
      </c>
      <c r="C21" s="6" t="s">
        <v>75</v>
      </c>
      <c r="D21" s="12" t="s">
        <v>78</v>
      </c>
      <c r="E21" s="9" t="s">
        <v>79</v>
      </c>
      <c r="F21" s="6">
        <v>3</v>
      </c>
      <c r="G21" s="6">
        <v>1</v>
      </c>
    </row>
    <row r="22" spans="1:7" ht="31.8" customHeight="1" x14ac:dyDescent="0.45">
      <c r="A22" s="6">
        <v>21</v>
      </c>
      <c r="B22" s="6" t="s">
        <v>81</v>
      </c>
      <c r="C22" s="6" t="s">
        <v>82</v>
      </c>
      <c r="D22" s="12" t="s">
        <v>83</v>
      </c>
      <c r="E22" s="9" t="s">
        <v>84</v>
      </c>
      <c r="F22" s="6">
        <v>1</v>
      </c>
      <c r="G22" s="6">
        <v>1</v>
      </c>
    </row>
    <row r="23" spans="1:7" ht="31.8" customHeight="1" x14ac:dyDescent="0.45">
      <c r="A23" s="6">
        <v>22</v>
      </c>
      <c r="B23" s="6" t="s">
        <v>81</v>
      </c>
      <c r="C23" s="6" t="s">
        <v>82</v>
      </c>
      <c r="D23" s="12" t="s">
        <v>85</v>
      </c>
      <c r="E23" s="9" t="s">
        <v>86</v>
      </c>
      <c r="F23" s="6">
        <v>3</v>
      </c>
      <c r="G23" s="6">
        <v>1</v>
      </c>
    </row>
    <row r="24" spans="1:7" ht="31.8" customHeight="1" x14ac:dyDescent="0.45">
      <c r="A24" s="6">
        <v>23</v>
      </c>
      <c r="B24" s="6" t="s">
        <v>81</v>
      </c>
      <c r="C24" s="6" t="s">
        <v>88</v>
      </c>
      <c r="D24" s="12" t="s">
        <v>89</v>
      </c>
      <c r="E24" s="9" t="s">
        <v>90</v>
      </c>
      <c r="F24" s="6">
        <v>4</v>
      </c>
      <c r="G24" s="6">
        <v>2</v>
      </c>
    </row>
    <row r="25" spans="1:7" ht="31.8" customHeight="1" x14ac:dyDescent="0.45">
      <c r="A25" s="6">
        <v>24</v>
      </c>
      <c r="B25" s="6" t="s">
        <v>81</v>
      </c>
      <c r="C25" s="6" t="s">
        <v>88</v>
      </c>
      <c r="D25" s="12" t="s">
        <v>91</v>
      </c>
      <c r="E25" s="9" t="s">
        <v>92</v>
      </c>
      <c r="F25" s="6">
        <v>1</v>
      </c>
      <c r="G25" s="6">
        <v>0</v>
      </c>
    </row>
    <row r="26" spans="1:7" ht="31.8" customHeight="1" x14ac:dyDescent="0.45">
      <c r="A26" s="6">
        <v>25</v>
      </c>
      <c r="B26" s="6" t="s">
        <v>22</v>
      </c>
      <c r="C26" s="6" t="s">
        <v>21</v>
      </c>
      <c r="D26" s="12" t="s">
        <v>12</v>
      </c>
      <c r="E26" s="9" t="s">
        <v>10</v>
      </c>
      <c r="F26" s="6">
        <v>1</v>
      </c>
      <c r="G26" s="6">
        <v>1</v>
      </c>
    </row>
    <row r="27" spans="1:7" ht="31.8" customHeight="1" x14ac:dyDescent="0.45">
      <c r="A27" s="6">
        <v>26</v>
      </c>
      <c r="B27" s="6" t="s">
        <v>22</v>
      </c>
      <c r="C27" s="6" t="s">
        <v>21</v>
      </c>
      <c r="D27" s="12" t="s">
        <v>9</v>
      </c>
      <c r="E27" s="9" t="s">
        <v>11</v>
      </c>
      <c r="F27" s="6">
        <v>1</v>
      </c>
      <c r="G27" s="6">
        <v>0</v>
      </c>
    </row>
    <row r="28" spans="1:7" ht="31.8" customHeight="1" x14ac:dyDescent="0.45">
      <c r="A28" s="6">
        <v>27</v>
      </c>
      <c r="B28" s="6" t="s">
        <v>22</v>
      </c>
      <c r="C28" s="6" t="s">
        <v>25</v>
      </c>
      <c r="D28" s="12" t="s">
        <v>29</v>
      </c>
      <c r="E28" s="9" t="s">
        <v>27</v>
      </c>
      <c r="F28" s="6">
        <v>4</v>
      </c>
      <c r="G28" s="6">
        <v>1</v>
      </c>
    </row>
    <row r="29" spans="1:7" ht="31.8" customHeight="1" x14ac:dyDescent="0.45">
      <c r="A29" s="6">
        <v>28</v>
      </c>
      <c r="B29" s="6" t="s">
        <v>22</v>
      </c>
      <c r="C29" s="6" t="s">
        <v>25</v>
      </c>
      <c r="D29" s="12" t="s">
        <v>26</v>
      </c>
      <c r="E29" s="9" t="s">
        <v>30</v>
      </c>
      <c r="F29" s="6">
        <v>6</v>
      </c>
      <c r="G29" s="6">
        <v>0</v>
      </c>
    </row>
    <row r="30" spans="1:7" ht="31.8" customHeight="1" x14ac:dyDescent="0.45">
      <c r="A30" s="6">
        <v>29</v>
      </c>
      <c r="B30" s="6" t="s">
        <v>36</v>
      </c>
      <c r="C30" s="6" t="s">
        <v>31</v>
      </c>
      <c r="D30" s="12" t="s">
        <v>34</v>
      </c>
      <c r="E30" s="9" t="s">
        <v>33</v>
      </c>
      <c r="F30" s="6">
        <v>0</v>
      </c>
      <c r="G30" s="6">
        <v>1</v>
      </c>
    </row>
    <row r="31" spans="1:7" ht="31.8" customHeight="1" x14ac:dyDescent="0.45">
      <c r="A31" s="6">
        <v>30</v>
      </c>
      <c r="B31" s="6" t="s">
        <v>36</v>
      </c>
      <c r="C31" s="6" t="s">
        <v>31</v>
      </c>
      <c r="D31" s="12" t="s">
        <v>32</v>
      </c>
      <c r="E31" s="9" t="s">
        <v>35</v>
      </c>
      <c r="F31" s="6">
        <v>3</v>
      </c>
      <c r="G31" s="6">
        <v>0</v>
      </c>
    </row>
    <row r="32" spans="1:7" ht="31.8" customHeight="1" x14ac:dyDescent="0.45">
      <c r="A32" s="6">
        <v>31</v>
      </c>
      <c r="B32" s="6" t="s">
        <v>36</v>
      </c>
      <c r="C32" s="6" t="s">
        <v>37</v>
      </c>
      <c r="D32" s="12" t="s">
        <v>38</v>
      </c>
      <c r="E32" s="9" t="s">
        <v>40</v>
      </c>
      <c r="F32" s="6">
        <v>2</v>
      </c>
      <c r="G32" s="6">
        <v>0</v>
      </c>
    </row>
    <row r="33" spans="1:7" ht="31.8" customHeight="1" x14ac:dyDescent="0.45">
      <c r="A33" s="6">
        <v>32</v>
      </c>
      <c r="B33" s="6" t="s">
        <v>36</v>
      </c>
      <c r="C33" s="6" t="s">
        <v>37</v>
      </c>
      <c r="D33" s="12" t="s">
        <v>41</v>
      </c>
      <c r="E33" s="9" t="s">
        <v>39</v>
      </c>
      <c r="F33" s="6">
        <v>0</v>
      </c>
      <c r="G33" s="6">
        <v>1</v>
      </c>
    </row>
    <row r="34" spans="1:7" ht="31.8" customHeight="1" x14ac:dyDescent="0.45">
      <c r="A34" s="6">
        <v>33</v>
      </c>
      <c r="B34" s="6" t="s">
        <v>49</v>
      </c>
      <c r="C34" s="6" t="s">
        <v>44</v>
      </c>
      <c r="D34" s="12" t="s">
        <v>45</v>
      </c>
      <c r="E34" s="9" t="s">
        <v>47</v>
      </c>
      <c r="F34" s="6">
        <v>2</v>
      </c>
      <c r="G34" s="6">
        <v>1</v>
      </c>
    </row>
    <row r="35" spans="1:7" ht="31.8" customHeight="1" x14ac:dyDescent="0.45">
      <c r="A35" s="6">
        <v>34</v>
      </c>
      <c r="B35" s="6" t="s">
        <v>49</v>
      </c>
      <c r="C35" s="6" t="s">
        <v>44</v>
      </c>
      <c r="D35" s="12" t="s">
        <v>48</v>
      </c>
      <c r="E35" s="9" t="s">
        <v>46</v>
      </c>
      <c r="F35" s="6">
        <v>0</v>
      </c>
      <c r="G35" s="6">
        <v>0</v>
      </c>
    </row>
    <row r="36" spans="1:7" ht="31.8" customHeight="1" x14ac:dyDescent="0.45">
      <c r="A36" s="6">
        <v>35</v>
      </c>
      <c r="B36" s="6" t="s">
        <v>49</v>
      </c>
      <c r="C36" s="6" t="s">
        <v>50</v>
      </c>
      <c r="D36" s="12" t="s">
        <v>51</v>
      </c>
      <c r="E36" s="9" t="s">
        <v>53</v>
      </c>
      <c r="F36" s="6">
        <v>5</v>
      </c>
      <c r="G36" s="6">
        <v>1</v>
      </c>
    </row>
    <row r="37" spans="1:7" ht="31.8" customHeight="1" x14ac:dyDescent="0.45">
      <c r="A37" s="6">
        <v>36</v>
      </c>
      <c r="B37" s="6" t="s">
        <v>49</v>
      </c>
      <c r="C37" s="6" t="s">
        <v>50</v>
      </c>
      <c r="D37" s="12" t="s">
        <v>52</v>
      </c>
      <c r="E37" s="9" t="s">
        <v>54</v>
      </c>
      <c r="F37" s="6">
        <v>4</v>
      </c>
      <c r="G37" s="6">
        <v>0</v>
      </c>
    </row>
    <row r="38" spans="1:7" ht="31.8" customHeight="1" x14ac:dyDescent="0.45">
      <c r="A38" s="6">
        <v>37</v>
      </c>
      <c r="B38" s="6" t="s">
        <v>61</v>
      </c>
      <c r="C38" s="6" t="s">
        <v>56</v>
      </c>
      <c r="D38" s="12" t="s">
        <v>57</v>
      </c>
      <c r="E38" s="9" t="s">
        <v>59</v>
      </c>
      <c r="F38" s="6">
        <v>0</v>
      </c>
      <c r="G38" s="6">
        <v>0</v>
      </c>
    </row>
    <row r="39" spans="1:7" ht="31.8" customHeight="1" x14ac:dyDescent="0.45">
      <c r="A39" s="6">
        <v>38</v>
      </c>
      <c r="B39" s="6" t="s">
        <v>61</v>
      </c>
      <c r="C39" s="6" t="s">
        <v>56</v>
      </c>
      <c r="D39" s="12" t="s">
        <v>58</v>
      </c>
      <c r="E39" s="9" t="s">
        <v>60</v>
      </c>
      <c r="F39" s="6">
        <v>3</v>
      </c>
      <c r="G39" s="6">
        <v>1</v>
      </c>
    </row>
    <row r="40" spans="1:7" ht="31.8" customHeight="1" x14ac:dyDescent="0.45">
      <c r="A40" s="6">
        <v>39</v>
      </c>
      <c r="B40" s="6" t="s">
        <v>61</v>
      </c>
      <c r="C40" s="6" t="s">
        <v>63</v>
      </c>
      <c r="D40" s="12" t="s">
        <v>64</v>
      </c>
      <c r="E40" s="9" t="s">
        <v>66</v>
      </c>
      <c r="F40" s="6">
        <v>4</v>
      </c>
      <c r="G40" s="6">
        <v>0</v>
      </c>
    </row>
    <row r="41" spans="1:7" ht="31.8" customHeight="1" x14ac:dyDescent="0.45">
      <c r="A41" s="6">
        <v>40</v>
      </c>
      <c r="B41" s="6" t="s">
        <v>61</v>
      </c>
      <c r="C41" s="6" t="s">
        <v>63</v>
      </c>
      <c r="D41" s="12" t="s">
        <v>67</v>
      </c>
      <c r="E41" s="9" t="s">
        <v>65</v>
      </c>
      <c r="F41" s="6">
        <v>2</v>
      </c>
      <c r="G41" s="6">
        <v>2</v>
      </c>
    </row>
    <row r="42" spans="1:7" ht="31.8" customHeight="1" x14ac:dyDescent="0.45">
      <c r="A42" s="6">
        <v>41</v>
      </c>
      <c r="B42" s="6" t="s">
        <v>74</v>
      </c>
      <c r="C42" s="6" t="s">
        <v>69</v>
      </c>
      <c r="D42" s="12" t="s">
        <v>70</v>
      </c>
      <c r="E42" s="9" t="s">
        <v>73</v>
      </c>
      <c r="F42" s="6">
        <v>3</v>
      </c>
      <c r="G42" s="6">
        <v>0</v>
      </c>
    </row>
    <row r="43" spans="1:7" ht="31.8" customHeight="1" x14ac:dyDescent="0.45">
      <c r="A43" s="6">
        <v>42</v>
      </c>
      <c r="B43" s="6" t="s">
        <v>74</v>
      </c>
      <c r="C43" s="6" t="s">
        <v>69</v>
      </c>
      <c r="D43" s="12" t="s">
        <v>72</v>
      </c>
      <c r="E43" s="9" t="s">
        <v>71</v>
      </c>
      <c r="F43" s="6">
        <v>3</v>
      </c>
      <c r="G43" s="6">
        <v>2</v>
      </c>
    </row>
    <row r="44" spans="1:7" ht="31.8" customHeight="1" x14ac:dyDescent="0.45">
      <c r="A44" s="6">
        <v>43</v>
      </c>
      <c r="B44" s="6" t="s">
        <v>74</v>
      </c>
      <c r="C44" s="6" t="s">
        <v>75</v>
      </c>
      <c r="D44" s="12" t="s">
        <v>76</v>
      </c>
      <c r="E44" s="9" t="s">
        <v>78</v>
      </c>
      <c r="F44" s="6">
        <v>2</v>
      </c>
      <c r="G44" s="6">
        <v>0</v>
      </c>
    </row>
    <row r="45" spans="1:7" ht="31.8" customHeight="1" x14ac:dyDescent="0.45">
      <c r="A45" s="6">
        <v>44</v>
      </c>
      <c r="B45" s="6" t="s">
        <v>74</v>
      </c>
      <c r="C45" s="6" t="s">
        <v>75</v>
      </c>
      <c r="D45" s="12" t="s">
        <v>79</v>
      </c>
      <c r="E45" s="9" t="s">
        <v>77</v>
      </c>
      <c r="F45" s="6">
        <v>1</v>
      </c>
      <c r="G45" s="6">
        <v>2</v>
      </c>
    </row>
    <row r="46" spans="1:7" ht="31.8" customHeight="1" x14ac:dyDescent="0.45">
      <c r="A46" s="6">
        <v>45</v>
      </c>
      <c r="B46" s="6" t="s">
        <v>87</v>
      </c>
      <c r="C46" s="6" t="s">
        <v>82</v>
      </c>
      <c r="D46" s="12" t="s">
        <v>83</v>
      </c>
      <c r="E46" s="9" t="s">
        <v>86</v>
      </c>
      <c r="F46" s="6">
        <v>5</v>
      </c>
      <c r="G46" s="6">
        <v>0</v>
      </c>
    </row>
    <row r="47" spans="1:7" ht="31.8" customHeight="1" x14ac:dyDescent="0.45">
      <c r="A47" s="6">
        <v>46</v>
      </c>
      <c r="B47" s="6" t="s">
        <v>87</v>
      </c>
      <c r="C47" s="6" t="s">
        <v>82</v>
      </c>
      <c r="D47" s="12" t="s">
        <v>85</v>
      </c>
      <c r="E47" s="9" t="s">
        <v>84</v>
      </c>
      <c r="F47" s="6">
        <v>1</v>
      </c>
      <c r="G47" s="6">
        <v>0</v>
      </c>
    </row>
    <row r="48" spans="1:7" ht="31.8" customHeight="1" x14ac:dyDescent="0.45">
      <c r="A48" s="6">
        <v>47</v>
      </c>
      <c r="B48" s="6" t="s">
        <v>87</v>
      </c>
      <c r="C48" s="6" t="s">
        <v>88</v>
      </c>
      <c r="D48" s="12" t="s">
        <v>89</v>
      </c>
      <c r="E48" s="9" t="s">
        <v>91</v>
      </c>
      <c r="F48" s="6">
        <v>0</v>
      </c>
      <c r="G48" s="6">
        <v>0</v>
      </c>
    </row>
    <row r="49" spans="1:7" ht="31.8" customHeight="1" x14ac:dyDescent="0.45">
      <c r="A49" s="6">
        <v>48</v>
      </c>
      <c r="B49" s="6" t="s">
        <v>87</v>
      </c>
      <c r="C49" s="6" t="s">
        <v>88</v>
      </c>
      <c r="D49" s="12" t="s">
        <v>92</v>
      </c>
      <c r="E49" s="9" t="s">
        <v>90</v>
      </c>
      <c r="F49" s="6">
        <v>0</v>
      </c>
      <c r="G49" s="6">
        <v>1</v>
      </c>
    </row>
    <row r="50" spans="1:7" ht="31.8" customHeight="1" x14ac:dyDescent="0.45">
      <c r="A50" s="6">
        <v>49</v>
      </c>
      <c r="B50" s="6" t="s">
        <v>23</v>
      </c>
      <c r="C50" s="6" t="s">
        <v>21</v>
      </c>
      <c r="D50" s="12" t="s">
        <v>9</v>
      </c>
      <c r="E50" s="9" t="s">
        <v>12</v>
      </c>
      <c r="F50" s="6">
        <v>3</v>
      </c>
      <c r="G50" s="6">
        <v>0</v>
      </c>
    </row>
    <row r="51" spans="1:7" ht="31.8" customHeight="1" x14ac:dyDescent="0.45">
      <c r="A51" s="6">
        <v>50</v>
      </c>
      <c r="B51" s="6" t="s">
        <v>23</v>
      </c>
      <c r="C51" s="6" t="s">
        <v>21</v>
      </c>
      <c r="D51" s="12" t="s">
        <v>10</v>
      </c>
      <c r="E51" s="9" t="s">
        <v>11</v>
      </c>
      <c r="F51" s="6">
        <v>1</v>
      </c>
      <c r="G51" s="6">
        <v>0</v>
      </c>
    </row>
    <row r="52" spans="1:7" ht="31.8" customHeight="1" x14ac:dyDescent="0.45">
      <c r="A52" s="6">
        <v>51</v>
      </c>
      <c r="B52" s="6" t="s">
        <v>23</v>
      </c>
      <c r="C52" s="6" t="s">
        <v>25</v>
      </c>
      <c r="D52" s="12" t="s">
        <v>29</v>
      </c>
      <c r="E52" s="9" t="s">
        <v>26</v>
      </c>
      <c r="F52" s="6">
        <v>2</v>
      </c>
      <c r="G52" s="6">
        <v>1</v>
      </c>
    </row>
    <row r="53" spans="1:7" ht="31.8" customHeight="1" x14ac:dyDescent="0.45">
      <c r="A53" s="6">
        <v>52</v>
      </c>
      <c r="B53" s="6" t="s">
        <v>23</v>
      </c>
      <c r="C53" s="6" t="s">
        <v>25</v>
      </c>
      <c r="D53" s="12" t="s">
        <v>27</v>
      </c>
      <c r="E53" s="9" t="s">
        <v>30</v>
      </c>
      <c r="F53" s="6">
        <v>3</v>
      </c>
      <c r="G53" s="6">
        <v>1</v>
      </c>
    </row>
    <row r="54" spans="1:7" ht="31.8" customHeight="1" x14ac:dyDescent="0.45">
      <c r="A54" s="6">
        <v>53</v>
      </c>
      <c r="B54" s="6" t="s">
        <v>23</v>
      </c>
      <c r="C54" s="6" t="s">
        <v>31</v>
      </c>
      <c r="D54" s="12" t="s">
        <v>34</v>
      </c>
      <c r="E54" s="9" t="s">
        <v>32</v>
      </c>
      <c r="F54" s="6">
        <v>0</v>
      </c>
      <c r="G54" s="6">
        <v>3</v>
      </c>
    </row>
    <row r="55" spans="1:7" ht="31.8" customHeight="1" x14ac:dyDescent="0.45">
      <c r="A55" s="6">
        <v>54</v>
      </c>
      <c r="B55" s="6" t="s">
        <v>23</v>
      </c>
      <c r="C55" s="6" t="s">
        <v>31</v>
      </c>
      <c r="D55" s="12" t="s">
        <v>33</v>
      </c>
      <c r="E55" s="9" t="s">
        <v>35</v>
      </c>
      <c r="F55" s="6">
        <v>4</v>
      </c>
      <c r="G55" s="6">
        <v>2</v>
      </c>
    </row>
    <row r="56" spans="1:7" ht="31.8" customHeight="1" x14ac:dyDescent="0.45">
      <c r="A56" s="6">
        <v>55</v>
      </c>
      <c r="B56" s="6" t="s">
        <v>42</v>
      </c>
      <c r="C56" s="6" t="s">
        <v>37</v>
      </c>
      <c r="D56" s="12" t="s">
        <v>41</v>
      </c>
      <c r="E56" s="9" t="s">
        <v>38</v>
      </c>
      <c r="F56" s="6">
        <v>3</v>
      </c>
      <c r="G56" s="6">
        <v>2</v>
      </c>
    </row>
    <row r="57" spans="1:7" ht="31.8" customHeight="1" x14ac:dyDescent="0.45">
      <c r="A57" s="6">
        <v>56</v>
      </c>
      <c r="B57" s="6" t="s">
        <v>42</v>
      </c>
      <c r="C57" s="6" t="s">
        <v>37</v>
      </c>
      <c r="D57" s="12" t="s">
        <v>39</v>
      </c>
      <c r="E57" s="9" t="s">
        <v>40</v>
      </c>
      <c r="F57" s="6">
        <v>0</v>
      </c>
      <c r="G57" s="6">
        <v>0</v>
      </c>
    </row>
    <row r="58" spans="1:7" ht="31.8" customHeight="1" x14ac:dyDescent="0.45">
      <c r="A58" s="6">
        <v>57</v>
      </c>
      <c r="B58" s="6" t="s">
        <v>42</v>
      </c>
      <c r="C58" s="6" t="s">
        <v>44</v>
      </c>
      <c r="D58" s="12" t="s">
        <v>46</v>
      </c>
      <c r="E58" s="9" t="s">
        <v>47</v>
      </c>
      <c r="F58" s="6">
        <v>0</v>
      </c>
      <c r="G58" s="6">
        <v>2</v>
      </c>
    </row>
    <row r="59" spans="1:7" ht="31.8" customHeight="1" x14ac:dyDescent="0.45">
      <c r="A59" s="6">
        <v>58</v>
      </c>
      <c r="B59" s="6" t="s">
        <v>42</v>
      </c>
      <c r="C59" s="6" t="s">
        <v>44</v>
      </c>
      <c r="D59" s="12" t="s">
        <v>48</v>
      </c>
      <c r="E59" s="9" t="s">
        <v>45</v>
      </c>
      <c r="F59" s="6">
        <v>2</v>
      </c>
      <c r="G59" s="6">
        <v>1</v>
      </c>
    </row>
    <row r="60" spans="1:7" ht="31.8" customHeight="1" x14ac:dyDescent="0.45">
      <c r="A60" s="6">
        <v>59</v>
      </c>
      <c r="B60" s="6" t="s">
        <v>42</v>
      </c>
      <c r="C60" s="6" t="s">
        <v>50</v>
      </c>
      <c r="D60" s="12" t="s">
        <v>52</v>
      </c>
      <c r="E60" s="9" t="s">
        <v>53</v>
      </c>
      <c r="F60" s="6">
        <v>1</v>
      </c>
      <c r="G60" s="6">
        <v>1</v>
      </c>
    </row>
    <row r="61" spans="1:7" ht="31.8" customHeight="1" x14ac:dyDescent="0.45">
      <c r="A61" s="6">
        <v>60</v>
      </c>
      <c r="B61" s="6" t="s">
        <v>42</v>
      </c>
      <c r="C61" s="6" t="s">
        <v>50</v>
      </c>
      <c r="D61" s="12" t="s">
        <v>51</v>
      </c>
      <c r="E61" s="9" t="s">
        <v>54</v>
      </c>
      <c r="F61" s="6">
        <v>3</v>
      </c>
      <c r="G61" s="6">
        <v>1</v>
      </c>
    </row>
    <row r="62" spans="1:7" ht="31.8" customHeight="1" x14ac:dyDescent="0.45">
      <c r="A62" s="6">
        <v>61</v>
      </c>
      <c r="B62" s="6" t="s">
        <v>62</v>
      </c>
      <c r="C62" s="6" t="s">
        <v>56</v>
      </c>
      <c r="D62" s="12" t="s">
        <v>58</v>
      </c>
      <c r="E62" s="9" t="s">
        <v>59</v>
      </c>
      <c r="F62" s="6">
        <v>1</v>
      </c>
      <c r="G62" s="6">
        <v>1</v>
      </c>
    </row>
    <row r="63" spans="1:7" ht="31.8" customHeight="1" x14ac:dyDescent="0.45">
      <c r="A63" s="6">
        <v>62</v>
      </c>
      <c r="B63" s="6" t="s">
        <v>62</v>
      </c>
      <c r="C63" s="6" t="s">
        <v>56</v>
      </c>
      <c r="D63" s="12" t="s">
        <v>57</v>
      </c>
      <c r="E63" s="9" t="s">
        <v>60</v>
      </c>
      <c r="F63" s="6">
        <v>5</v>
      </c>
      <c r="G63" s="6">
        <v>1</v>
      </c>
    </row>
    <row r="64" spans="1:7" ht="31.8" customHeight="1" x14ac:dyDescent="0.45">
      <c r="A64" s="6">
        <v>63</v>
      </c>
      <c r="B64" s="6" t="s">
        <v>62</v>
      </c>
      <c r="C64" s="6" t="s">
        <v>63</v>
      </c>
      <c r="D64" s="12" t="s">
        <v>65</v>
      </c>
      <c r="E64" s="9" t="s">
        <v>66</v>
      </c>
      <c r="F64" s="6">
        <v>0</v>
      </c>
      <c r="G64" s="6">
        <v>0</v>
      </c>
    </row>
    <row r="65" spans="1:7" ht="31.8" customHeight="1" x14ac:dyDescent="0.45">
      <c r="A65" s="6">
        <v>64</v>
      </c>
      <c r="B65" s="6" t="s">
        <v>62</v>
      </c>
      <c r="C65" s="6" t="s">
        <v>63</v>
      </c>
      <c r="D65" s="12" t="s">
        <v>64</v>
      </c>
      <c r="E65" s="9" t="s">
        <v>67</v>
      </c>
      <c r="F65" s="6">
        <v>1</v>
      </c>
      <c r="G65" s="6">
        <v>0</v>
      </c>
    </row>
    <row r="66" spans="1:7" ht="31.8" customHeight="1" x14ac:dyDescent="0.45">
      <c r="A66" s="6">
        <v>65</v>
      </c>
      <c r="B66" s="6" t="s">
        <v>62</v>
      </c>
      <c r="C66" s="6" t="s">
        <v>69</v>
      </c>
      <c r="D66" s="12" t="s">
        <v>72</v>
      </c>
      <c r="E66" s="9" t="s">
        <v>70</v>
      </c>
      <c r="F66" s="6">
        <v>1</v>
      </c>
      <c r="G66" s="6">
        <v>4</v>
      </c>
    </row>
    <row r="67" spans="1:7" ht="31.8" customHeight="1" x14ac:dyDescent="0.45">
      <c r="A67" s="6">
        <v>66</v>
      </c>
      <c r="B67" s="6" t="s">
        <v>62</v>
      </c>
      <c r="C67" s="6" t="s">
        <v>69</v>
      </c>
      <c r="D67" s="12" t="s">
        <v>71</v>
      </c>
      <c r="E67" s="9" t="s">
        <v>73</v>
      </c>
      <c r="F67" s="6">
        <v>5</v>
      </c>
      <c r="G67" s="6">
        <v>0</v>
      </c>
    </row>
    <row r="68" spans="1:7" ht="31.8" customHeight="1" x14ac:dyDescent="0.45">
      <c r="A68" s="6">
        <v>67</v>
      </c>
      <c r="B68" s="6" t="s">
        <v>80</v>
      </c>
      <c r="C68" s="6" t="s">
        <v>75</v>
      </c>
      <c r="D68" s="12" t="s">
        <v>76</v>
      </c>
      <c r="E68" s="9" t="s">
        <v>79</v>
      </c>
      <c r="F68" s="6">
        <v>3</v>
      </c>
      <c r="G68" s="6">
        <v>1</v>
      </c>
    </row>
    <row r="69" spans="1:7" ht="31.8" customHeight="1" x14ac:dyDescent="0.45">
      <c r="A69" s="6">
        <v>68</v>
      </c>
      <c r="B69" s="6" t="s">
        <v>80</v>
      </c>
      <c r="C69" s="6" t="s">
        <v>75</v>
      </c>
      <c r="D69" s="12" t="s">
        <v>78</v>
      </c>
      <c r="E69" s="9" t="s">
        <v>77</v>
      </c>
      <c r="F69" s="6">
        <v>3</v>
      </c>
      <c r="G69" s="6">
        <v>3</v>
      </c>
    </row>
    <row r="70" spans="1:7" ht="31.8" customHeight="1" x14ac:dyDescent="0.45">
      <c r="A70" s="6">
        <v>69</v>
      </c>
      <c r="B70" s="6" t="s">
        <v>80</v>
      </c>
      <c r="C70" s="6" t="s">
        <v>82</v>
      </c>
      <c r="D70" s="12" t="s">
        <v>85</v>
      </c>
      <c r="E70" s="9" t="s">
        <v>83</v>
      </c>
      <c r="F70" s="6">
        <v>0</v>
      </c>
      <c r="G70" s="6">
        <v>0</v>
      </c>
    </row>
    <row r="71" spans="1:7" ht="31.8" customHeight="1" x14ac:dyDescent="0.45">
      <c r="A71" s="6">
        <v>70</v>
      </c>
      <c r="B71" s="6" t="s">
        <v>80</v>
      </c>
      <c r="C71" s="6" t="s">
        <v>82</v>
      </c>
      <c r="D71" s="12" t="s">
        <v>84</v>
      </c>
      <c r="E71" s="9" t="s">
        <v>86</v>
      </c>
      <c r="F71" s="6">
        <v>3</v>
      </c>
      <c r="G71" s="6">
        <v>1</v>
      </c>
    </row>
    <row r="72" spans="1:7" ht="31.8" customHeight="1" x14ac:dyDescent="0.45">
      <c r="A72" s="6">
        <v>71</v>
      </c>
      <c r="B72" s="6" t="s">
        <v>80</v>
      </c>
      <c r="C72" s="6" t="s">
        <v>88</v>
      </c>
      <c r="D72" s="12" t="s">
        <v>89</v>
      </c>
      <c r="E72" s="9" t="s">
        <v>92</v>
      </c>
      <c r="F72" s="6">
        <v>2</v>
      </c>
      <c r="G72" s="6">
        <v>0</v>
      </c>
    </row>
    <row r="73" spans="1:7" ht="31.8" customHeight="1" x14ac:dyDescent="0.45">
      <c r="A73" s="6">
        <v>72</v>
      </c>
      <c r="B73" s="6" t="s">
        <v>80</v>
      </c>
      <c r="C73" s="6" t="s">
        <v>88</v>
      </c>
      <c r="D73" s="12" t="s">
        <v>90</v>
      </c>
      <c r="E73" s="9" t="s">
        <v>91</v>
      </c>
      <c r="F73" s="6">
        <v>2</v>
      </c>
      <c r="G73" s="6">
        <v>1</v>
      </c>
    </row>
    <row r="75" spans="1:7" ht="31.8" customHeight="1" x14ac:dyDescent="0.3">
      <c r="A75" s="4"/>
      <c r="B75" s="8"/>
      <c r="C75" s="8"/>
      <c r="D75" s="14"/>
      <c r="E75" s="8"/>
      <c r="F75" s="8"/>
      <c r="G75" s="8"/>
    </row>
  </sheetData>
  <sortState xmlns:xlrd2="http://schemas.microsoft.com/office/spreadsheetml/2017/richdata2" ref="A2:G77">
    <sortCondition ref="B2:B77"/>
    <sortCondition ref="C2:C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A2D5-D45F-499A-9A29-2AED50DA948E}">
  <dimension ref="A1:R67"/>
  <sheetViews>
    <sheetView zoomScaleNormal="100" workbookViewId="0">
      <pane ySplit="1" topLeftCell="A2" activePane="bottomLeft" state="frozen"/>
      <selection activeCell="B1" sqref="B1"/>
      <selection pane="bottomLeft" activeCell="L7" sqref="L7"/>
    </sheetView>
  </sheetViews>
  <sheetFormatPr defaultRowHeight="14.4" x14ac:dyDescent="0.3"/>
  <cols>
    <col min="1" max="1" width="7.77734375" bestFit="1" customWidth="1"/>
    <col min="2" max="2" width="36.5546875" customWidth="1"/>
    <col min="3" max="10" width="9.88671875" customWidth="1"/>
    <col min="11" max="11" width="13" customWidth="1"/>
    <col min="12" max="12" width="13.77734375" customWidth="1"/>
    <col min="13" max="13" width="3.5546875" bestFit="1" customWidth="1"/>
    <col min="14" max="14" width="2.6640625" bestFit="1" customWidth="1"/>
    <col min="15" max="15" width="2.21875" bestFit="1" customWidth="1"/>
    <col min="16" max="16" width="2.109375" bestFit="1" customWidth="1"/>
    <col min="17" max="17" width="3.33203125" bestFit="1" customWidth="1"/>
    <col min="18" max="18" width="3.44140625" style="1" bestFit="1" customWidth="1"/>
    <col min="19" max="19" width="3.5546875" bestFit="1" customWidth="1"/>
    <col min="20" max="20" width="3.6640625" bestFit="1" customWidth="1"/>
    <col min="21" max="22" width="12.6640625" bestFit="1" customWidth="1"/>
    <col min="23" max="23" width="12.109375" bestFit="1" customWidth="1"/>
    <col min="24" max="24" width="11.88671875" bestFit="1" customWidth="1"/>
  </cols>
  <sheetData>
    <row r="1" spans="1:18" ht="22.8" customHeight="1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R1"/>
    </row>
    <row r="2" spans="1:18" ht="18" x14ac:dyDescent="0.3">
      <c r="A2" s="2" t="s">
        <v>102</v>
      </c>
      <c r="B2" s="2" t="s">
        <v>9</v>
      </c>
      <c r="C2" s="2">
        <v>3</v>
      </c>
      <c r="D2" s="2" cm="1">
        <f t="array" ref="D2">SUMPRODUCT(('GROUP 1'!$D$2:$D$73=B2)*('GROUP 1'!$F$2:$F$73&gt;'GROUP 1'!$G$2:$G$73))+SUMPRODUCT(('GROUP 1'!$E$2:$E$73=B2)*('GROUP 1'!$G$2:$G$73&gt;'GROUP 1'!$F$2:$F$73))</f>
        <v>2</v>
      </c>
      <c r="E2" s="2" cm="1">
        <f t="array" ref="E2">SUMPRODUCT((('GROUP 1'!$D$2:$D$73=B2)+('GROUP 1'!$E$2:$E$73=B2))*('GROUP 1'!$F$2:$F$73='GROUP 1'!$G$2:$G$73))</f>
        <v>0</v>
      </c>
      <c r="F2" s="2">
        <f>(C2-(D2+E2))</f>
        <v>1</v>
      </c>
      <c r="G2" s="2">
        <f>SUMIF('GROUP 1'!D:D,B2,'GROUP 1'!F:F)+SUMIF('GROUP 1'!E:E,B2,'GROUP 1'!G:G)</f>
        <v>6</v>
      </c>
      <c r="H2" s="2">
        <f>SUMIF('GROUP 1'!D:D,B2,'GROUP 1'!G:G)+SUMIF('GROUP 1'!E:E,B2,'GROUP 1'!F:F)</f>
        <v>3</v>
      </c>
      <c r="I2" s="2">
        <f>G2-H2</f>
        <v>3</v>
      </c>
      <c r="J2" s="2">
        <f>D2*3+E2</f>
        <v>6</v>
      </c>
      <c r="R2"/>
    </row>
    <row r="3" spans="1:18" ht="18" x14ac:dyDescent="0.3">
      <c r="A3" s="2" t="s">
        <v>102</v>
      </c>
      <c r="B3" s="2" t="s">
        <v>10</v>
      </c>
      <c r="C3" s="2">
        <f>COUNTIF('GROUP 1'!D:D,B3)+COUNTIF('GROUP 1'!E:E,B3)</f>
        <v>3</v>
      </c>
      <c r="D3" s="2" cm="1">
        <f t="array" ref="D3">SUMPRODUCT(('GROUP 1'!$D$2:$D$73=B3)*('GROUP 1'!$F$2:$F$73&gt;'GROUP 1'!$G$2:$G$73))+SUMPRODUCT(('GROUP 1'!$E$2:$E$73=B3)*('GROUP 1'!$G$2:$G$73&gt;'GROUP 1'!$F$2:$F$73))</f>
        <v>2</v>
      </c>
      <c r="E3" s="2" cm="1">
        <f t="array" ref="E3">SUMPRODUCT((('GROUP 1'!$D$2:$D$73=B3)+('GROUP 1'!$E$2:$E$73=B3))*('GROUP 1'!$F$2:$F$73='GROUP 1'!$G$2:$G$73))</f>
        <v>1</v>
      </c>
      <c r="F3" s="2">
        <f t="shared" ref="F3:F49" si="0">(C3-(D3+E3))</f>
        <v>0</v>
      </c>
      <c r="G3" s="2">
        <f>SUMIF('GROUP 1'!D:D,B3,'GROUP 1'!F:F)+SUMIF('GROUP 1'!E:E,B3,'GROUP 1'!G:G)</f>
        <v>5</v>
      </c>
      <c r="H3" s="2">
        <f>SUMIF('GROUP 1'!D:D,B3,'GROUP 1'!G:G)+SUMIF('GROUP 1'!E:E,B3,'GROUP 1'!F:F)</f>
        <v>3</v>
      </c>
      <c r="I3" s="2">
        <f t="shared" ref="I3:I49" si="1">G3-H3</f>
        <v>2</v>
      </c>
      <c r="J3" s="2">
        <f t="shared" ref="J3:J49" si="2">D3*3+E3</f>
        <v>7</v>
      </c>
      <c r="R3"/>
    </row>
    <row r="4" spans="1:18" ht="18" x14ac:dyDescent="0.3">
      <c r="A4" s="2" t="s">
        <v>102</v>
      </c>
      <c r="B4" s="2" t="s">
        <v>11</v>
      </c>
      <c r="C4" s="2">
        <f>COUNTIF('GROUP 1'!D:D,B4)+COUNTIF('GROUP 1'!E:E,B4)</f>
        <v>3</v>
      </c>
      <c r="D4" s="2" cm="1">
        <f t="array" ref="D4">SUMPRODUCT(('GROUP 1'!$D$2:$D$73=B4)*('GROUP 1'!$F$2:$F$73&gt;'GROUP 1'!$G$2:$G$73))+SUMPRODUCT(('GROUP 1'!$E$2:$E$73=B4)*('GROUP 1'!$G$2:$G$73&gt;'GROUP 1'!$F$2:$F$73))</f>
        <v>1</v>
      </c>
      <c r="E4" s="2" cm="1">
        <f t="array" ref="E4">SUMPRODUCT((('GROUP 1'!$D$2:$D$73=B4)+('GROUP 1'!$E$2:$E$73=B4))*('GROUP 1'!$F$2:$F$73='GROUP 1'!$G$2:$G$73))</f>
        <v>0</v>
      </c>
      <c r="F4" s="2">
        <f t="shared" si="0"/>
        <v>2</v>
      </c>
      <c r="G4" s="2">
        <f>SUMIF('GROUP 1'!D:D,B4,'GROUP 1'!F:F)+SUMIF('GROUP 1'!E:E,B4,'GROUP 1'!G:G)</f>
        <v>2</v>
      </c>
      <c r="H4" s="2">
        <f>SUMIF('GROUP 1'!D:D,B4,'GROUP 1'!G:G)+SUMIF('GROUP 1'!E:E,B4,'GROUP 1'!F:F)</f>
        <v>3</v>
      </c>
      <c r="I4" s="2">
        <f t="shared" si="1"/>
        <v>-1</v>
      </c>
      <c r="J4" s="2">
        <f t="shared" si="2"/>
        <v>3</v>
      </c>
    </row>
    <row r="5" spans="1:18" ht="18" x14ac:dyDescent="0.3">
      <c r="A5" s="2" t="s">
        <v>102</v>
      </c>
      <c r="B5" s="2" t="s">
        <v>12</v>
      </c>
      <c r="C5" s="2">
        <f>COUNTIF('GROUP 1'!D:D,B5)+COUNTIF('GROUP 1'!E:E,B5)</f>
        <v>3</v>
      </c>
      <c r="D5" s="2" cm="1">
        <f t="array" ref="D5">SUMPRODUCT(('GROUP 1'!$D$2:$D$73=B5)*('GROUP 1'!$F$2:$F$73&gt;'GROUP 1'!$G$2:$G$73))+SUMPRODUCT(('GROUP 1'!$E$2:$E$73=B5)*('GROUP 1'!$G$2:$G$73&gt;'GROUP 1'!$F$2:$F$73))</f>
        <v>0</v>
      </c>
      <c r="E5" s="2" cm="1">
        <f t="array" ref="E5">SUMPRODUCT((('GROUP 1'!$D$2:$D$73=B5)+('GROUP 1'!$E$2:$E$73=B5))*('GROUP 1'!$F$2:$F$73='GROUP 1'!$G$2:$G$73))</f>
        <v>1</v>
      </c>
      <c r="F5" s="2">
        <f t="shared" si="0"/>
        <v>2</v>
      </c>
      <c r="G5" s="2">
        <f>SUMIF('GROUP 1'!D:D,B5,'GROUP 1'!F:F)+SUMIF('GROUP 1'!E:E,B5,'GROUP 1'!G:G)</f>
        <v>2</v>
      </c>
      <c r="H5" s="2">
        <f>SUMIF('GROUP 1'!D:D,B5,'GROUP 1'!G:G)+SUMIF('GROUP 1'!E:E,B5,'GROUP 1'!F:F)</f>
        <v>6</v>
      </c>
      <c r="I5" s="2">
        <f t="shared" si="1"/>
        <v>-4</v>
      </c>
      <c r="J5" s="2">
        <f t="shared" si="2"/>
        <v>1</v>
      </c>
    </row>
    <row r="6" spans="1:18" ht="18" x14ac:dyDescent="0.3">
      <c r="A6" s="2" t="s">
        <v>93</v>
      </c>
      <c r="B6" s="2" t="s">
        <v>29</v>
      </c>
      <c r="C6" s="2">
        <f>COUNTIF('GROUP 1'!D:D,B6)+COUNTIF('GROUP 1'!E:E,B6)</f>
        <v>3</v>
      </c>
      <c r="D6" s="2" cm="1">
        <f t="array" ref="D6">SUMPRODUCT(('GROUP 1'!$D$2:$D$73=B6)*('GROUP 1'!$F$2:$F$73&gt;'GROUP 1'!$G$2:$G$73))+SUMPRODUCT(('GROUP 1'!$E$2:$E$73=B6)*('GROUP 1'!$G$2:$G$73&gt;'GROUP 1'!$F$2:$F$73))</f>
        <v>2</v>
      </c>
      <c r="E6" s="2" cm="1">
        <f t="array" ref="E6">SUMPRODUCT((('GROUP 1'!$D$2:$D$73=B6)+('GROUP 1'!$E$2:$E$73=B6))*('GROUP 1'!$F$2:$F$73='GROUP 1'!$G$2:$G$73))</f>
        <v>1</v>
      </c>
      <c r="F6" s="2">
        <f t="shared" si="0"/>
        <v>0</v>
      </c>
      <c r="G6" s="2">
        <f>SUMIF('GROUP 1'!D:D,B6,'GROUP 1'!F:F)+SUMIF('GROUP 1'!E:E,B6,'GROUP 1'!G:G)</f>
        <v>7</v>
      </c>
      <c r="H6" s="2">
        <f>SUMIF('GROUP 1'!D:D,B6,'GROUP 1'!G:G)+SUMIF('GROUP 1'!E:E,B6,'GROUP 1'!F:F)</f>
        <v>3</v>
      </c>
      <c r="I6" s="2">
        <f t="shared" si="1"/>
        <v>4</v>
      </c>
      <c r="J6" s="2">
        <f t="shared" si="2"/>
        <v>7</v>
      </c>
      <c r="R6"/>
    </row>
    <row r="7" spans="1:18" ht="18" x14ac:dyDescent="0.3">
      <c r="A7" s="2" t="s">
        <v>93</v>
      </c>
      <c r="B7" s="2" t="s">
        <v>26</v>
      </c>
      <c r="C7" s="2">
        <f>COUNTIF('GROUP 1'!D:D,B7)+COUNTIF('GROUP 1'!E:E,B7)</f>
        <v>3</v>
      </c>
      <c r="D7" s="2" cm="1">
        <f t="array" ref="D7">SUMPRODUCT(('GROUP 1'!$D$2:$D$73=B7)*('GROUP 1'!$F$2:$F$73&gt;'GROUP 1'!$G$2:$G$73))+SUMPRODUCT(('GROUP 1'!$E$2:$E$73=B7)*('GROUP 1'!$G$2:$G$73&gt;'GROUP 1'!$F$2:$F$73))</f>
        <v>1</v>
      </c>
      <c r="E7" s="2" cm="1">
        <f t="array" ref="E7">SUMPRODUCT((('GROUP 1'!$D$2:$D$73=B7)+('GROUP 1'!$E$2:$E$73=B7))*('GROUP 1'!$F$2:$F$73='GROUP 1'!$G$2:$G$73))</f>
        <v>1</v>
      </c>
      <c r="F7" s="2">
        <f t="shared" si="0"/>
        <v>1</v>
      </c>
      <c r="G7" s="2">
        <f>SUMIF('GROUP 1'!D:D,B7,'GROUP 1'!F:F)+SUMIF('GROUP 1'!E:E,B7,'GROUP 1'!G:G)</f>
        <v>8</v>
      </c>
      <c r="H7" s="2">
        <f>SUMIF('GROUP 1'!D:D,B7,'GROUP 1'!G:G)+SUMIF('GROUP 1'!E:E,B7,'GROUP 1'!F:F)</f>
        <v>3</v>
      </c>
      <c r="I7" s="2">
        <f t="shared" si="1"/>
        <v>5</v>
      </c>
      <c r="J7" s="2">
        <f t="shared" si="2"/>
        <v>4</v>
      </c>
      <c r="R7"/>
    </row>
    <row r="8" spans="1:18" ht="18" x14ac:dyDescent="0.3">
      <c r="A8" s="2" t="s">
        <v>93</v>
      </c>
      <c r="B8" s="2" t="s">
        <v>27</v>
      </c>
      <c r="C8" s="2">
        <f>COUNTIF('GROUP 1'!D:D,B8)+COUNTIF('GROUP 1'!E:E,B8)</f>
        <v>3</v>
      </c>
      <c r="D8" s="2" cm="1">
        <f t="array" ref="D8">SUMPRODUCT(('GROUP 1'!$D$2:$D$73=B8)*('GROUP 1'!$F$2:$F$73&gt;'GROUP 1'!$G$2:$G$73))+SUMPRODUCT(('GROUP 1'!$E$2:$E$73=B8)*('GROUP 1'!$G$2:$G$73&gt;'GROUP 1'!$F$2:$F$73))</f>
        <v>1</v>
      </c>
      <c r="E8" s="2" cm="1">
        <f t="array" ref="E8">SUMPRODUCT((('GROUP 1'!$D$2:$D$73=B8)+('GROUP 1'!$E$2:$E$73=B8))*('GROUP 1'!$F$2:$F$73='GROUP 1'!$G$2:$G$73))</f>
        <v>1</v>
      </c>
      <c r="F8" s="2">
        <f t="shared" si="0"/>
        <v>1</v>
      </c>
      <c r="G8" s="2">
        <f>SUMIF('GROUP 1'!D:D,B8,'GROUP 1'!F:F)+SUMIF('GROUP 1'!E:E,B8,'GROUP 1'!G:G)</f>
        <v>5</v>
      </c>
      <c r="H8" s="2">
        <f>SUMIF('GROUP 1'!D:D,B8,'GROUP 1'!G:G)+SUMIF('GROUP 1'!E:E,B8,'GROUP 1'!F:F)</f>
        <v>6</v>
      </c>
      <c r="I8" s="2">
        <f t="shared" si="1"/>
        <v>-1</v>
      </c>
      <c r="J8" s="2">
        <f t="shared" si="2"/>
        <v>4</v>
      </c>
      <c r="R8"/>
    </row>
    <row r="9" spans="1:18" ht="18" x14ac:dyDescent="0.3">
      <c r="A9" s="2" t="s">
        <v>93</v>
      </c>
      <c r="B9" s="2" t="s">
        <v>30</v>
      </c>
      <c r="C9" s="2">
        <f>COUNTIF('GROUP 1'!D:D,B9)+COUNTIF('GROUP 1'!E:E,B9)</f>
        <v>3</v>
      </c>
      <c r="D9" s="2" cm="1">
        <f t="array" ref="D9">SUMPRODUCT(('GROUP 1'!$D$2:$D$73=B9)*('GROUP 1'!$F$2:$F$73&gt;'GROUP 1'!$G$2:$G$73))+SUMPRODUCT(('GROUP 1'!$E$2:$E$73=B9)*('GROUP 1'!$G$2:$G$73&gt;'GROUP 1'!$F$2:$F$73))</f>
        <v>0</v>
      </c>
      <c r="E9" s="2" cm="1">
        <f t="array" ref="E9">SUMPRODUCT((('GROUP 1'!$D$2:$D$73=B9)+('GROUP 1'!$E$2:$E$73=B9))*('GROUP 1'!$F$2:$F$73='GROUP 1'!$G$2:$G$73))</f>
        <v>1</v>
      </c>
      <c r="F9" s="2">
        <f t="shared" si="0"/>
        <v>2</v>
      </c>
      <c r="G9" s="2">
        <f>SUMIF('GROUP 1'!D:D,B9,'GROUP 1'!F:F)+SUMIF('GROUP 1'!E:E,B9,'GROUP 1'!G:G)</f>
        <v>2</v>
      </c>
      <c r="H9" s="2">
        <f>SUMIF('GROUP 1'!D:D,B9,'GROUP 1'!G:G)+SUMIF('GROUP 1'!E:E,B9,'GROUP 1'!F:F)</f>
        <v>10</v>
      </c>
      <c r="I9" s="2">
        <f t="shared" si="1"/>
        <v>-8</v>
      </c>
      <c r="J9" s="2">
        <f t="shared" si="2"/>
        <v>1</v>
      </c>
      <c r="R9"/>
    </row>
    <row r="10" spans="1:18" ht="18" x14ac:dyDescent="0.3">
      <c r="A10" s="2" t="s">
        <v>94</v>
      </c>
      <c r="B10" s="2" t="s">
        <v>32</v>
      </c>
      <c r="C10" s="2">
        <f>COUNTIF('GROUP 1'!D:D,B10)+COUNTIF('GROUP 1'!E:E,B10)</f>
        <v>3</v>
      </c>
      <c r="D10" s="2" cm="1">
        <f t="array" ref="D10">SUMPRODUCT(('GROUP 1'!$D$2:$D$73=B10)*('GROUP 1'!$F$2:$F$73&gt;'GROUP 1'!$G$2:$G$73))+SUMPRODUCT(('GROUP 1'!$E$2:$E$73=B10)*('GROUP 1'!$G$2:$G$73&gt;'GROUP 1'!$F$2:$F$73))</f>
        <v>2</v>
      </c>
      <c r="E10" s="2" cm="1">
        <f t="array" ref="E10">SUMPRODUCT((('GROUP 1'!$D$2:$D$73=B10)+('GROUP 1'!$E$2:$E$73=B10))*('GROUP 1'!$F$2:$F$73='GROUP 1'!$G$2:$G$73))</f>
        <v>1</v>
      </c>
      <c r="F10" s="2">
        <f t="shared" si="0"/>
        <v>0</v>
      </c>
      <c r="G10" s="2">
        <f>SUMIF('GROUP 1'!D:D,B10,'GROUP 1'!F:F)+SUMIF('GROUP 1'!E:E,B10,'GROUP 1'!G:G)</f>
        <v>7</v>
      </c>
      <c r="H10" s="2">
        <f>SUMIF('GROUP 1'!D:D,B10,'GROUP 1'!G:G)+SUMIF('GROUP 1'!E:E,B10,'GROUP 1'!F:F)</f>
        <v>1</v>
      </c>
      <c r="I10" s="2">
        <f t="shared" si="1"/>
        <v>6</v>
      </c>
      <c r="J10" s="2">
        <f t="shared" si="2"/>
        <v>7</v>
      </c>
      <c r="R10"/>
    </row>
    <row r="11" spans="1:18" ht="18" x14ac:dyDescent="0.3">
      <c r="A11" s="2" t="s">
        <v>94</v>
      </c>
      <c r="B11" s="2" t="s">
        <v>33</v>
      </c>
      <c r="C11" s="2">
        <f>COUNTIF('GROUP 1'!D:D,B11)+COUNTIF('GROUP 1'!E:E,B11)</f>
        <v>3</v>
      </c>
      <c r="D11" s="2" cm="1">
        <f t="array" ref="D11">SUMPRODUCT(('GROUP 1'!$D$2:$D$73=B11)*('GROUP 1'!$F$2:$F$73&gt;'GROUP 1'!$G$2:$G$73))+SUMPRODUCT(('GROUP 1'!$E$2:$E$73=B11)*('GROUP 1'!$G$2:$G$73&gt;'GROUP 1'!$F$2:$F$73))</f>
        <v>2</v>
      </c>
      <c r="E11" s="2" cm="1">
        <f t="array" ref="E11">SUMPRODUCT((('GROUP 1'!$D$2:$D$73=B11)+('GROUP 1'!$E$2:$E$73=B11))*('GROUP 1'!$F$2:$F$73='GROUP 1'!$G$2:$G$73))</f>
        <v>1</v>
      </c>
      <c r="F11" s="2">
        <f t="shared" si="0"/>
        <v>0</v>
      </c>
      <c r="G11" s="2">
        <f>SUMIF('GROUP 1'!D:D,B11,'GROUP 1'!F:F)+SUMIF('GROUP 1'!E:E,B11,'GROUP 1'!G:G)</f>
        <v>6</v>
      </c>
      <c r="H11" s="2">
        <f>SUMIF('GROUP 1'!D:D,B11,'GROUP 1'!G:G)+SUMIF('GROUP 1'!E:E,B11,'GROUP 1'!F:F)</f>
        <v>3</v>
      </c>
      <c r="I11" s="2">
        <f t="shared" si="1"/>
        <v>3</v>
      </c>
      <c r="J11" s="2">
        <f t="shared" si="2"/>
        <v>7</v>
      </c>
      <c r="R11"/>
    </row>
    <row r="12" spans="1:18" ht="18" x14ac:dyDescent="0.3">
      <c r="A12" s="2" t="s">
        <v>94</v>
      </c>
      <c r="B12" s="2" t="s">
        <v>34</v>
      </c>
      <c r="C12" s="2">
        <f>COUNTIF('GROUP 1'!D:D,B12)+COUNTIF('GROUP 1'!E:E,B12)</f>
        <v>3</v>
      </c>
      <c r="D12" s="2" cm="1">
        <f t="array" ref="D12">SUMPRODUCT(('GROUP 1'!$D$2:$D$73=B12)*('GROUP 1'!$F$2:$F$73&gt;'GROUP 1'!$G$2:$G$73))+SUMPRODUCT(('GROUP 1'!$E$2:$E$73=B12)*('GROUP 1'!$G$2:$G$73&gt;'GROUP 1'!$F$2:$F$73))</f>
        <v>1</v>
      </c>
      <c r="E12" s="2" cm="1">
        <f t="array" ref="E12">SUMPRODUCT((('GROUP 1'!$D$2:$D$73=B12)+('GROUP 1'!$E$2:$E$73=B12))*('GROUP 1'!$F$2:$F$73='GROUP 1'!$G$2:$G$73))</f>
        <v>0</v>
      </c>
      <c r="F12" s="2">
        <f t="shared" si="0"/>
        <v>2</v>
      </c>
      <c r="G12" s="2">
        <f>SUMIF('GROUP 1'!D:D,B12,'GROUP 1'!F:F)+SUMIF('GROUP 1'!E:E,B12,'GROUP 1'!G:G)</f>
        <v>1</v>
      </c>
      <c r="H12" s="2">
        <f>SUMIF('GROUP 1'!D:D,B12,'GROUP 1'!G:G)+SUMIF('GROUP 1'!E:E,B12,'GROUP 1'!F:F)</f>
        <v>4</v>
      </c>
      <c r="I12" s="2">
        <f t="shared" si="1"/>
        <v>-3</v>
      </c>
      <c r="J12" s="2">
        <f t="shared" si="2"/>
        <v>3</v>
      </c>
      <c r="R12"/>
    </row>
    <row r="13" spans="1:18" ht="18" x14ac:dyDescent="0.3">
      <c r="A13" s="2" t="s">
        <v>94</v>
      </c>
      <c r="B13" s="2" t="s">
        <v>35</v>
      </c>
      <c r="C13" s="2">
        <f>COUNTIF('GROUP 1'!D:D,B13)+COUNTIF('GROUP 1'!E:E,B13)</f>
        <v>3</v>
      </c>
      <c r="D13" s="2" cm="1">
        <f t="array" ref="D13">SUMPRODUCT(('GROUP 1'!$D$2:$D$73=B13)*('GROUP 1'!$F$2:$F$73&gt;'GROUP 1'!$G$2:$G$73))+SUMPRODUCT(('GROUP 1'!$E$2:$E$73=B13)*('GROUP 1'!$G$2:$G$73&gt;'GROUP 1'!$F$2:$F$73))</f>
        <v>0</v>
      </c>
      <c r="E13" s="2" cm="1">
        <f t="array" ref="E13">SUMPRODUCT((('GROUP 1'!$D$2:$D$73=B13)+('GROUP 1'!$E$2:$E$73=B13))*('GROUP 1'!$F$2:$F$73='GROUP 1'!$G$2:$G$73))</f>
        <v>0</v>
      </c>
      <c r="F13" s="2">
        <f t="shared" si="0"/>
        <v>3</v>
      </c>
      <c r="G13" s="2">
        <f>SUMIF('GROUP 1'!D:D,B13,'GROUP 1'!F:F)+SUMIF('GROUP 1'!E:E,B13,'GROUP 1'!G:G)</f>
        <v>2</v>
      </c>
      <c r="H13" s="2">
        <f>SUMIF('GROUP 1'!D:D,B13,'GROUP 1'!G:G)+SUMIF('GROUP 1'!E:E,B13,'GROUP 1'!F:F)</f>
        <v>8</v>
      </c>
      <c r="I13" s="2">
        <f t="shared" si="1"/>
        <v>-6</v>
      </c>
      <c r="J13" s="2">
        <f t="shared" si="2"/>
        <v>0</v>
      </c>
      <c r="R13"/>
    </row>
    <row r="14" spans="1:18" ht="18" x14ac:dyDescent="0.3">
      <c r="A14" s="2" t="s">
        <v>3</v>
      </c>
      <c r="B14" s="2" t="s">
        <v>38</v>
      </c>
      <c r="C14" s="2">
        <f>COUNTIF('GROUP 1'!D:D,B14)+COUNTIF('GROUP 1'!E:E,B14)</f>
        <v>3</v>
      </c>
      <c r="D14" s="2" cm="1">
        <f t="array" ref="D14">SUMPRODUCT(('GROUP 1'!$D$2:$D$73=B14)*('GROUP 1'!$F$2:$F$73&gt;'GROUP 1'!$G$2:$G$73))+SUMPRODUCT(('GROUP 1'!$E$2:$E$73=B14)*('GROUP 1'!$G$2:$G$73&gt;'GROUP 1'!$F$2:$F$73))</f>
        <v>2</v>
      </c>
      <c r="E14" s="2" cm="1">
        <f t="array" ref="E14">SUMPRODUCT((('GROUP 1'!$D$2:$D$73=B14)+('GROUP 1'!$E$2:$E$73=B14))*('GROUP 1'!$F$2:$F$73='GROUP 1'!$G$2:$G$73))</f>
        <v>0</v>
      </c>
      <c r="F14" s="2">
        <f t="shared" si="0"/>
        <v>1</v>
      </c>
      <c r="G14" s="2">
        <f>SUMIF('GROUP 1'!D:D,B14,'GROUP 1'!F:F)+SUMIF('GROUP 1'!E:E,B14,'GROUP 1'!G:G)</f>
        <v>8</v>
      </c>
      <c r="H14" s="2">
        <f>SUMIF('GROUP 1'!D:D,B14,'GROUP 1'!G:G)+SUMIF('GROUP 1'!E:E,B14,'GROUP 1'!F:F)</f>
        <v>4</v>
      </c>
      <c r="I14" s="2">
        <f t="shared" si="1"/>
        <v>4</v>
      </c>
      <c r="J14" s="2">
        <f t="shared" si="2"/>
        <v>6</v>
      </c>
      <c r="R14"/>
    </row>
    <row r="15" spans="1:18" ht="18" x14ac:dyDescent="0.3">
      <c r="A15" s="2" t="s">
        <v>3</v>
      </c>
      <c r="B15" s="2" t="s">
        <v>40</v>
      </c>
      <c r="C15" s="2">
        <f>COUNTIF('GROUP 1'!D:D,B15)+COUNTIF('GROUP 1'!E:E,B15)</f>
        <v>3</v>
      </c>
      <c r="D15" s="2" cm="1">
        <f t="array" ref="D15">SUMPRODUCT(('GROUP 1'!$D$2:$D$73=B15)*('GROUP 1'!$F$2:$F$73&gt;'GROUP 1'!$G$2:$G$73))+SUMPRODUCT(('GROUP 1'!$E$2:$E$73=B15)*('GROUP 1'!$G$2:$G$73&gt;'GROUP 1'!$F$2:$F$73))</f>
        <v>1</v>
      </c>
      <c r="E15" s="2" cm="1">
        <f t="array" ref="E15">SUMPRODUCT((('GROUP 1'!$D$2:$D$73=B15)+('GROUP 1'!$E$2:$E$73=B15))*('GROUP 1'!$F$2:$F$73='GROUP 1'!$G$2:$G$73))</f>
        <v>1</v>
      </c>
      <c r="F15" s="2">
        <f t="shared" si="0"/>
        <v>1</v>
      </c>
      <c r="G15" s="2">
        <f>SUMIF('GROUP 1'!D:D,B15,'GROUP 1'!F:F)+SUMIF('GROUP 1'!E:E,B15,'GROUP 1'!G:G)</f>
        <v>2</v>
      </c>
      <c r="H15" s="2">
        <f>SUMIF('GROUP 1'!D:D,B15,'GROUP 1'!G:G)+SUMIF('GROUP 1'!E:E,B15,'GROUP 1'!F:F)</f>
        <v>2</v>
      </c>
      <c r="I15" s="2">
        <f t="shared" si="1"/>
        <v>0</v>
      </c>
      <c r="J15" s="2">
        <f t="shared" si="2"/>
        <v>4</v>
      </c>
      <c r="R15"/>
    </row>
    <row r="16" spans="1:18" ht="18" x14ac:dyDescent="0.3">
      <c r="A16" s="2" t="s">
        <v>3</v>
      </c>
      <c r="B16" s="2" t="s">
        <v>41</v>
      </c>
      <c r="C16" s="2">
        <f>COUNTIF('GROUP 1'!D:D,B16)+COUNTIF('GROUP 1'!E:E,B16)</f>
        <v>3</v>
      </c>
      <c r="D16" s="2" cm="1">
        <f t="array" ref="D16">SUMPRODUCT(('GROUP 1'!$D$2:$D$73=B16)*('GROUP 1'!$F$2:$F$73&gt;'GROUP 1'!$G$2:$G$73))+SUMPRODUCT(('GROUP 1'!$E$2:$E$73=B16)*('GROUP 1'!$G$2:$G$73&gt;'GROUP 1'!$F$2:$F$73))</f>
        <v>1</v>
      </c>
      <c r="E16" s="2" cm="1">
        <f t="array" ref="E16">SUMPRODUCT((('GROUP 1'!$D$2:$D$73=B16)+('GROUP 1'!$E$2:$E$73=B16))*('GROUP 1'!$F$2:$F$73='GROUP 1'!$G$2:$G$73))</f>
        <v>0</v>
      </c>
      <c r="F16" s="2">
        <f t="shared" si="0"/>
        <v>2</v>
      </c>
      <c r="G16" s="2">
        <f>SUMIF('GROUP 1'!D:D,B16,'GROUP 1'!F:F)+SUMIF('GROUP 1'!E:E,B16,'GROUP 1'!G:G)</f>
        <v>3</v>
      </c>
      <c r="H16" s="2">
        <f>SUMIF('GROUP 1'!D:D,B16,'GROUP 1'!G:G)+SUMIF('GROUP 1'!E:E,B16,'GROUP 1'!F:F)</f>
        <v>5</v>
      </c>
      <c r="I16" s="2">
        <f t="shared" si="1"/>
        <v>-2</v>
      </c>
      <c r="J16" s="2">
        <f t="shared" si="2"/>
        <v>3</v>
      </c>
      <c r="R16"/>
    </row>
    <row r="17" spans="1:18" ht="18" x14ac:dyDescent="0.3">
      <c r="A17" s="2" t="s">
        <v>3</v>
      </c>
      <c r="B17" s="2" t="s">
        <v>39</v>
      </c>
      <c r="C17" s="2">
        <f>COUNTIF('GROUP 1'!D:D,B17)+COUNTIF('GROUP 1'!E:E,B17)</f>
        <v>3</v>
      </c>
      <c r="D17" s="2" cm="1">
        <f t="array" ref="D17">SUMPRODUCT(('GROUP 1'!$D$2:$D$73=B17)*('GROUP 1'!$F$2:$F$73&gt;'GROUP 1'!$G$2:$G$73))+SUMPRODUCT(('GROUP 1'!$E$2:$E$73=B17)*('GROUP 1'!$G$2:$G$73&gt;'GROUP 1'!$F$2:$F$73))</f>
        <v>1</v>
      </c>
      <c r="E17" s="2" cm="1">
        <f t="array" ref="E17">SUMPRODUCT((('GROUP 1'!$D$2:$D$73=B17)+('GROUP 1'!$E$2:$E$73=B17))*('GROUP 1'!$F$2:$F$73='GROUP 1'!$G$2:$G$73))</f>
        <v>1</v>
      </c>
      <c r="F17" s="2">
        <f t="shared" si="0"/>
        <v>1</v>
      </c>
      <c r="G17" s="2">
        <f>SUMIF('GROUP 1'!D:D,B17,'GROUP 1'!F:F)+SUMIF('GROUP 1'!E:E,B17,'GROUP 1'!G:G)</f>
        <v>2</v>
      </c>
      <c r="H17" s="2">
        <f>SUMIF('GROUP 1'!D:D,B17,'GROUP 1'!G:G)+SUMIF('GROUP 1'!E:E,B17,'GROUP 1'!F:F)</f>
        <v>4</v>
      </c>
      <c r="I17" s="2">
        <f t="shared" si="1"/>
        <v>-2</v>
      </c>
      <c r="J17" s="2">
        <f t="shared" si="2"/>
        <v>4</v>
      </c>
      <c r="R17"/>
    </row>
    <row r="18" spans="1:18" ht="18" x14ac:dyDescent="0.3">
      <c r="A18" s="2" t="s">
        <v>95</v>
      </c>
      <c r="B18" s="2" t="s">
        <v>45</v>
      </c>
      <c r="C18" s="2">
        <f>COUNTIF('GROUP 1'!D:D,B18)+COUNTIF('GROUP 1'!E:E,B18)</f>
        <v>3</v>
      </c>
      <c r="D18" s="2" cm="1">
        <f t="array" ref="D18">SUMPRODUCT(('GROUP 1'!$D$2:$D$73=B18)*('GROUP 1'!$F$2:$F$73&gt;'GROUP 1'!$G$2:$G$73))+SUMPRODUCT(('GROUP 1'!$E$2:$E$73=B18)*('GROUP 1'!$G$2:$G$73&gt;'GROUP 1'!$F$2:$F$73))</f>
        <v>2</v>
      </c>
      <c r="E18" s="2" cm="1">
        <f t="array" ref="E18">SUMPRODUCT((('GROUP 1'!$D$2:$D$73=B18)+('GROUP 1'!$E$2:$E$73=B18))*('GROUP 1'!$F$2:$F$73='GROUP 1'!$G$2:$G$73))</f>
        <v>0</v>
      </c>
      <c r="F18" s="2">
        <f t="shared" si="0"/>
        <v>1</v>
      </c>
      <c r="G18" s="2">
        <f>SUMIF('GROUP 1'!D:D,B18,'GROUP 1'!F:F)+SUMIF('GROUP 1'!E:E,B18,'GROUP 1'!G:G)</f>
        <v>10</v>
      </c>
      <c r="H18" s="2">
        <f>SUMIF('GROUP 1'!D:D,B18,'GROUP 1'!G:G)+SUMIF('GROUP 1'!E:E,B18,'GROUP 1'!F:F)</f>
        <v>4</v>
      </c>
      <c r="I18" s="2">
        <f t="shared" si="1"/>
        <v>6</v>
      </c>
      <c r="J18" s="2">
        <f t="shared" si="2"/>
        <v>6</v>
      </c>
      <c r="R18"/>
    </row>
    <row r="19" spans="1:18" ht="18" x14ac:dyDescent="0.3">
      <c r="A19" s="2" t="s">
        <v>95</v>
      </c>
      <c r="B19" s="2" t="s">
        <v>47</v>
      </c>
      <c r="C19" s="2">
        <f>COUNTIF('GROUP 1'!D:D,B19)+COUNTIF('GROUP 1'!E:E,B19)</f>
        <v>3</v>
      </c>
      <c r="D19" s="2" cm="1">
        <f t="array" ref="D19">SUMPRODUCT(('GROUP 1'!$D$2:$D$73=B19)*('GROUP 1'!$F$2:$F$73&gt;'GROUP 1'!$G$2:$G$73))+SUMPRODUCT(('GROUP 1'!$E$2:$E$73=B19)*('GROUP 1'!$G$2:$G$73&gt;'GROUP 1'!$F$2:$F$73))</f>
        <v>2</v>
      </c>
      <c r="E19" s="2" cm="1">
        <f t="array" ref="E19">SUMPRODUCT((('GROUP 1'!$D$2:$D$73=B19)+('GROUP 1'!$E$2:$E$73=B19))*('GROUP 1'!$F$2:$F$73='GROUP 1'!$G$2:$G$73))</f>
        <v>0</v>
      </c>
      <c r="F19" s="2">
        <f t="shared" si="0"/>
        <v>1</v>
      </c>
      <c r="G19" s="2">
        <f>SUMIF('GROUP 1'!D:D,B19,'GROUP 1'!F:F)+SUMIF('GROUP 1'!E:E,B19,'GROUP 1'!G:G)</f>
        <v>4</v>
      </c>
      <c r="H19" s="2">
        <f>SUMIF('GROUP 1'!D:D,B19,'GROUP 1'!G:G)+SUMIF('GROUP 1'!E:E,B19,'GROUP 1'!F:F)</f>
        <v>2</v>
      </c>
      <c r="I19" s="2">
        <f t="shared" si="1"/>
        <v>2</v>
      </c>
      <c r="J19" s="2">
        <f t="shared" si="2"/>
        <v>6</v>
      </c>
      <c r="R19"/>
    </row>
    <row r="20" spans="1:18" ht="18" x14ac:dyDescent="0.3">
      <c r="A20" s="2" t="s">
        <v>95</v>
      </c>
      <c r="B20" s="2" t="s">
        <v>48</v>
      </c>
      <c r="C20" s="2">
        <f>COUNTIF('GROUP 1'!D:D,B20)+COUNTIF('GROUP 1'!E:E,B20)</f>
        <v>3</v>
      </c>
      <c r="D20" s="2" cm="1">
        <f t="array" ref="D20">SUMPRODUCT(('GROUP 1'!$D$2:$D$73=B20)*('GROUP 1'!$F$2:$F$73&gt;'GROUP 1'!$G$2:$G$73))+SUMPRODUCT(('GROUP 1'!$E$2:$E$73=B20)*('GROUP 1'!$G$2:$G$73&gt;'GROUP 1'!$F$2:$F$73))</f>
        <v>1</v>
      </c>
      <c r="E20" s="2" cm="1">
        <f t="array" ref="E20">SUMPRODUCT((('GROUP 1'!$D$2:$D$73=B20)+('GROUP 1'!$E$2:$E$73=B20))*('GROUP 1'!$F$2:$F$73='GROUP 1'!$G$2:$G$73))</f>
        <v>1</v>
      </c>
      <c r="F20" s="2">
        <f t="shared" si="0"/>
        <v>1</v>
      </c>
      <c r="G20" s="2">
        <f>SUMIF('GROUP 1'!D:D,B20,'GROUP 1'!F:F)+SUMIF('GROUP 1'!E:E,B20,'GROUP 1'!G:G)</f>
        <v>2</v>
      </c>
      <c r="H20" s="2">
        <f>SUMIF('GROUP 1'!D:D,B20,'GROUP 1'!G:G)+SUMIF('GROUP 1'!E:E,B20,'GROUP 1'!F:F)</f>
        <v>2</v>
      </c>
      <c r="I20" s="2">
        <f t="shared" si="1"/>
        <v>0</v>
      </c>
      <c r="J20" s="2">
        <f t="shared" si="2"/>
        <v>4</v>
      </c>
      <c r="R20"/>
    </row>
    <row r="21" spans="1:18" ht="18" x14ac:dyDescent="0.3">
      <c r="A21" s="2" t="s">
        <v>95</v>
      </c>
      <c r="B21" s="2" t="s">
        <v>46</v>
      </c>
      <c r="C21" s="2">
        <f>COUNTIF('GROUP 1'!D:D,B21)+COUNTIF('GROUP 1'!E:E,B21)</f>
        <v>3</v>
      </c>
      <c r="D21" s="2" cm="1">
        <f t="array" ref="D21">SUMPRODUCT(('GROUP 1'!$D$2:$D$73=B21)*('GROUP 1'!$F$2:$F$73&gt;'GROUP 1'!$G$2:$G$73))+SUMPRODUCT(('GROUP 1'!$E$2:$E$73=B21)*('GROUP 1'!$G$2:$G$73&gt;'GROUP 1'!$F$2:$F$73))</f>
        <v>0</v>
      </c>
      <c r="E21" s="2" cm="1">
        <f t="array" ref="E21">SUMPRODUCT((('GROUP 1'!$D$2:$D$73=B21)+('GROUP 1'!$E$2:$E$73=B21))*('GROUP 1'!$F$2:$F$73='GROUP 1'!$G$2:$G$73))</f>
        <v>1</v>
      </c>
      <c r="F21" s="2">
        <f t="shared" si="0"/>
        <v>2</v>
      </c>
      <c r="G21" s="2">
        <f>SUMIF('GROUP 1'!D:D,B21,'GROUP 1'!F:F)+SUMIF('GROUP 1'!E:E,B21,'GROUP 1'!G:G)</f>
        <v>1</v>
      </c>
      <c r="H21" s="2">
        <f>SUMIF('GROUP 1'!D:D,B21,'GROUP 1'!G:G)+SUMIF('GROUP 1'!E:E,B21,'GROUP 1'!F:F)</f>
        <v>9</v>
      </c>
      <c r="I21" s="2">
        <f t="shared" si="1"/>
        <v>-8</v>
      </c>
      <c r="J21" s="2">
        <f t="shared" si="2"/>
        <v>1</v>
      </c>
      <c r="R21"/>
    </row>
    <row r="22" spans="1:18" ht="18" x14ac:dyDescent="0.3">
      <c r="A22" s="2" t="s">
        <v>96</v>
      </c>
      <c r="B22" s="2" t="s">
        <v>51</v>
      </c>
      <c r="C22" s="2">
        <f>COUNTIF('GROUP 1'!D:D,B22)+COUNTIF('GROUP 1'!E:E,B22)</f>
        <v>3</v>
      </c>
      <c r="D22" s="2" cm="1">
        <f t="array" ref="D22">SUMPRODUCT(('GROUP 1'!$D$2:$D$73=B22)*('GROUP 1'!$F$2:$F$73&gt;'GROUP 1'!$G$2:$G$73))+SUMPRODUCT(('GROUP 1'!$E$2:$E$73=B22)*('GROUP 1'!$G$2:$G$73&gt;'GROUP 1'!$F$2:$F$73))</f>
        <v>2</v>
      </c>
      <c r="E22" s="2" cm="1">
        <f t="array" ref="E22">SUMPRODUCT((('GROUP 1'!$D$2:$D$73=B22)+('GROUP 1'!$E$2:$E$73=B22))*('GROUP 1'!$F$2:$F$73='GROUP 1'!$G$2:$G$73))</f>
        <v>1</v>
      </c>
      <c r="F22" s="2">
        <f t="shared" si="0"/>
        <v>0</v>
      </c>
      <c r="G22" s="2">
        <f>SUMIF('GROUP 1'!D:D,B22,'GROUP 1'!F:F)+SUMIF('GROUP 1'!E:E,B22,'GROUP 1'!G:G)</f>
        <v>10</v>
      </c>
      <c r="H22" s="2">
        <f>SUMIF('GROUP 1'!D:D,B22,'GROUP 1'!G:G)+SUMIF('GROUP 1'!E:E,B22,'GROUP 1'!F:F)</f>
        <v>4</v>
      </c>
      <c r="I22" s="2">
        <f t="shared" si="1"/>
        <v>6</v>
      </c>
      <c r="J22" s="2">
        <f t="shared" si="2"/>
        <v>7</v>
      </c>
    </row>
    <row r="23" spans="1:18" ht="18" x14ac:dyDescent="0.3">
      <c r="A23" s="2" t="s">
        <v>96</v>
      </c>
      <c r="B23" s="2" t="s">
        <v>52</v>
      </c>
      <c r="C23" s="2">
        <f>COUNTIF('GROUP 1'!D:D,B23)+COUNTIF('GROUP 1'!E:E,B23)</f>
        <v>3</v>
      </c>
      <c r="D23" s="2" cm="1">
        <f t="array" ref="D23">SUMPRODUCT(('GROUP 1'!$D$2:$D$73=B23)*('GROUP 1'!$F$2:$F$73&gt;'GROUP 1'!$G$2:$G$73))+SUMPRODUCT(('GROUP 1'!$E$2:$E$73=B23)*('GROUP 1'!$G$2:$G$73&gt;'GROUP 1'!$F$2:$F$73))</f>
        <v>1</v>
      </c>
      <c r="E23" s="2" cm="1">
        <f t="array" ref="E23">SUMPRODUCT((('GROUP 1'!$D$2:$D$73=B23)+('GROUP 1'!$E$2:$E$73=B23))*('GROUP 1'!$F$2:$F$73='GROUP 1'!$G$2:$G$73))</f>
        <v>2</v>
      </c>
      <c r="F23" s="2">
        <f t="shared" si="0"/>
        <v>0</v>
      </c>
      <c r="G23" s="2">
        <f>SUMIF('GROUP 1'!D:D,B23,'GROUP 1'!F:F)+SUMIF('GROUP 1'!E:E,B23,'GROUP 1'!G:G)</f>
        <v>7</v>
      </c>
      <c r="H23" s="2">
        <f>SUMIF('GROUP 1'!D:D,B23,'GROUP 1'!G:G)+SUMIF('GROUP 1'!E:E,B23,'GROUP 1'!F:F)</f>
        <v>3</v>
      </c>
      <c r="I23" s="2">
        <f t="shared" si="1"/>
        <v>4</v>
      </c>
      <c r="J23" s="2">
        <f t="shared" si="2"/>
        <v>5</v>
      </c>
    </row>
    <row r="24" spans="1:18" ht="18" x14ac:dyDescent="0.3">
      <c r="A24" s="2" t="s">
        <v>96</v>
      </c>
      <c r="B24" s="2" t="s">
        <v>53</v>
      </c>
      <c r="C24" s="2">
        <f>COUNTIF('GROUP 1'!D:D,B24)+COUNTIF('GROUP 1'!E:E,B24)</f>
        <v>3</v>
      </c>
      <c r="D24" s="2" cm="1">
        <f t="array" ref="D24">SUMPRODUCT(('GROUP 1'!$D$2:$D$73=B24)*('GROUP 1'!$F$2:$F$73&gt;'GROUP 1'!$G$2:$G$73))+SUMPRODUCT(('GROUP 1'!$E$2:$E$73=B24)*('GROUP 1'!$G$2:$G$73&gt;'GROUP 1'!$F$2:$F$73))</f>
        <v>1</v>
      </c>
      <c r="E24" s="2" cm="1">
        <f t="array" ref="E24">SUMPRODUCT((('GROUP 1'!$D$2:$D$73=B24)+('GROUP 1'!$E$2:$E$73=B24))*('GROUP 1'!$F$2:$F$73='GROUP 1'!$G$2:$G$73))</f>
        <v>1</v>
      </c>
      <c r="F24" s="2">
        <f t="shared" si="0"/>
        <v>1</v>
      </c>
      <c r="G24" s="2">
        <f>SUMIF('GROUP 1'!D:D,B24,'GROUP 1'!F:F)+SUMIF('GROUP 1'!E:E,B24,'GROUP 1'!G:G)</f>
        <v>7</v>
      </c>
      <c r="H24" s="2">
        <f>SUMIF('GROUP 1'!D:D,B24,'GROUP 1'!G:G)+SUMIF('GROUP 1'!E:E,B24,'GROUP 1'!F:F)</f>
        <v>7</v>
      </c>
      <c r="I24" s="2">
        <f t="shared" si="1"/>
        <v>0</v>
      </c>
      <c r="J24" s="2">
        <f t="shared" si="2"/>
        <v>4</v>
      </c>
      <c r="R24"/>
    </row>
    <row r="25" spans="1:18" ht="18" x14ac:dyDescent="0.3">
      <c r="A25" s="2" t="s">
        <v>96</v>
      </c>
      <c r="B25" s="2" t="s">
        <v>54</v>
      </c>
      <c r="C25" s="2">
        <f>COUNTIF('GROUP 1'!D:D,B25)+COUNTIF('GROUP 1'!E:E,B25)</f>
        <v>3</v>
      </c>
      <c r="D25" s="2" cm="1">
        <f t="array" ref="D25">SUMPRODUCT(('GROUP 1'!$D$2:$D$73=B25)*('GROUP 1'!$F$2:$F$73&gt;'GROUP 1'!$G$2:$G$73))+SUMPRODUCT(('GROUP 1'!$E$2:$E$73=B25)*('GROUP 1'!$G$2:$G$73&gt;'GROUP 1'!$F$2:$F$73))</f>
        <v>0</v>
      </c>
      <c r="E25" s="2" cm="1">
        <f t="array" ref="E25">SUMPRODUCT((('GROUP 1'!$D$2:$D$73=B25)+('GROUP 1'!$E$2:$E$73=B25))*('GROUP 1'!$F$2:$F$73='GROUP 1'!$G$2:$G$73))</f>
        <v>0</v>
      </c>
      <c r="F25" s="2">
        <f t="shared" si="0"/>
        <v>3</v>
      </c>
      <c r="G25" s="2">
        <f>SUMIF('GROUP 1'!D:D,B25,'GROUP 1'!F:F)+SUMIF('GROUP 1'!E:E,B25,'GROUP 1'!G:G)</f>
        <v>2</v>
      </c>
      <c r="H25" s="2">
        <f>SUMIF('GROUP 1'!D:D,B25,'GROUP 1'!G:G)+SUMIF('GROUP 1'!E:E,B25,'GROUP 1'!F:F)</f>
        <v>12</v>
      </c>
      <c r="I25" s="2">
        <f t="shared" si="1"/>
        <v>-10</v>
      </c>
      <c r="J25" s="2">
        <f t="shared" si="2"/>
        <v>0</v>
      </c>
      <c r="R25"/>
    </row>
    <row r="26" spans="1:18" ht="18" x14ac:dyDescent="0.3">
      <c r="A26" s="2" t="s">
        <v>97</v>
      </c>
      <c r="B26" s="2" t="s">
        <v>57</v>
      </c>
      <c r="C26" s="2">
        <f>COUNTIF('GROUP 1'!D:D,B26)+COUNTIF('GROUP 1'!E:E,B26)</f>
        <v>3</v>
      </c>
      <c r="D26" s="2" cm="1">
        <f t="array" ref="D26">SUMPRODUCT(('GROUP 1'!$D$2:$D$73=B26)*('GROUP 1'!$F$2:$F$73&gt;'GROUP 1'!$G$2:$G$73))+SUMPRODUCT(('GROUP 1'!$E$2:$E$73=B26)*('GROUP 1'!$G$2:$G$73&gt;'GROUP 1'!$F$2:$F$73))</f>
        <v>1</v>
      </c>
      <c r="E26" s="2" cm="1">
        <f t="array" ref="E26">SUMPRODUCT((('GROUP 1'!$D$2:$D$73=B26)+('GROUP 1'!$E$2:$E$73=B26))*('GROUP 1'!$F$2:$F$73='GROUP 1'!$G$2:$G$73))</f>
        <v>2</v>
      </c>
      <c r="F26" s="2">
        <f t="shared" si="0"/>
        <v>0</v>
      </c>
      <c r="G26" s="2">
        <f>SUMIF('GROUP 1'!D:D,B26,'GROUP 1'!F:F)+SUMIF('GROUP 1'!E:E,B26,'GROUP 1'!G:G)</f>
        <v>6</v>
      </c>
      <c r="H26" s="2">
        <f>SUMIF('GROUP 1'!D:D,B26,'GROUP 1'!G:G)+SUMIF('GROUP 1'!E:E,B26,'GROUP 1'!F:F)</f>
        <v>2</v>
      </c>
      <c r="I26" s="2">
        <f t="shared" si="1"/>
        <v>4</v>
      </c>
      <c r="J26" s="2">
        <f t="shared" si="2"/>
        <v>5</v>
      </c>
      <c r="R26"/>
    </row>
    <row r="27" spans="1:18" ht="18" x14ac:dyDescent="0.3">
      <c r="A27" s="2" t="s">
        <v>97</v>
      </c>
      <c r="B27" s="2" t="s">
        <v>58</v>
      </c>
      <c r="C27" s="2">
        <f>COUNTIF('GROUP 1'!D:D,B27)+COUNTIF('GROUP 1'!E:E,B27)</f>
        <v>3</v>
      </c>
      <c r="D27" s="2" cm="1">
        <f t="array" ref="D27">SUMPRODUCT(('GROUP 1'!$D$2:$D$73=B27)*('GROUP 1'!$F$2:$F$73&gt;'GROUP 1'!$G$2:$G$73))+SUMPRODUCT(('GROUP 1'!$E$2:$E$73=B27)*('GROUP 1'!$G$2:$G$73&gt;'GROUP 1'!$F$2:$F$73))</f>
        <v>1</v>
      </c>
      <c r="E27" s="2" cm="1">
        <f t="array" ref="E27">SUMPRODUCT((('GROUP 1'!$D$2:$D$73=B27)+('GROUP 1'!$E$2:$E$73=B27))*('GROUP 1'!$F$2:$F$73='GROUP 1'!$G$2:$G$73))</f>
        <v>2</v>
      </c>
      <c r="F27" s="2">
        <f t="shared" si="0"/>
        <v>0</v>
      </c>
      <c r="G27" s="2">
        <f>SUMIF('GROUP 1'!D:D,B27,'GROUP 1'!F:F)+SUMIF('GROUP 1'!E:E,B27,'GROUP 1'!G:G)</f>
        <v>5</v>
      </c>
      <c r="H27" s="2">
        <f>SUMIF('GROUP 1'!D:D,B27,'GROUP 1'!G:G)+SUMIF('GROUP 1'!E:E,B27,'GROUP 1'!F:F)</f>
        <v>3</v>
      </c>
      <c r="I27" s="2">
        <f t="shared" si="1"/>
        <v>2</v>
      </c>
      <c r="J27" s="2">
        <f t="shared" si="2"/>
        <v>5</v>
      </c>
      <c r="R27"/>
    </row>
    <row r="28" spans="1:18" ht="18" x14ac:dyDescent="0.3">
      <c r="A28" s="2" t="s">
        <v>97</v>
      </c>
      <c r="B28" s="2" t="s">
        <v>59</v>
      </c>
      <c r="C28" s="2">
        <f>COUNTIF('GROUP 1'!D:D,B28)+COUNTIF('GROUP 1'!E:E,B28)</f>
        <v>3</v>
      </c>
      <c r="D28" s="2" cm="1">
        <f t="array" ref="D28">SUMPRODUCT(('GROUP 1'!$D$2:$D$73=B28)*('GROUP 1'!$F$2:$F$73&gt;'GROUP 1'!$G$2:$G$73))+SUMPRODUCT(('GROUP 1'!$E$2:$E$73=B28)*('GROUP 1'!$G$2:$G$73&gt;'GROUP 1'!$F$2:$F$73))</f>
        <v>0</v>
      </c>
      <c r="E28" s="2" cm="1">
        <f t="array" ref="E28">SUMPRODUCT((('GROUP 1'!$D$2:$D$73=B28)+('GROUP 1'!$E$2:$E$73=B28))*('GROUP 1'!$F$2:$F$73='GROUP 1'!$G$2:$G$73))</f>
        <v>3</v>
      </c>
      <c r="F28" s="2">
        <f t="shared" si="0"/>
        <v>0</v>
      </c>
      <c r="G28" s="2">
        <f>SUMIF('GROUP 1'!D:D,B28,'GROUP 1'!F:F)+SUMIF('GROUP 1'!E:E,B28,'GROUP 1'!G:G)</f>
        <v>3</v>
      </c>
      <c r="H28" s="2">
        <f>SUMIF('GROUP 1'!D:D,B28,'GROUP 1'!G:G)+SUMIF('GROUP 1'!E:E,B28,'GROUP 1'!F:F)</f>
        <v>3</v>
      </c>
      <c r="I28" s="2">
        <f t="shared" si="1"/>
        <v>0</v>
      </c>
      <c r="J28" s="2">
        <f t="shared" si="2"/>
        <v>3</v>
      </c>
      <c r="R28"/>
    </row>
    <row r="29" spans="1:18" ht="18" x14ac:dyDescent="0.3">
      <c r="A29" s="2" t="s">
        <v>97</v>
      </c>
      <c r="B29" s="2" t="s">
        <v>60</v>
      </c>
      <c r="C29" s="2">
        <f>COUNTIF('GROUP 1'!D:D,B29)+COUNTIF('GROUP 1'!E:E,B29)</f>
        <v>3</v>
      </c>
      <c r="D29" s="2" cm="1">
        <f t="array" ref="D29">SUMPRODUCT(('GROUP 1'!$D$2:$D$73=B29)*('GROUP 1'!$F$2:$F$73&gt;'GROUP 1'!$G$2:$G$73))+SUMPRODUCT(('GROUP 1'!$E$2:$E$73=B29)*('GROUP 1'!$G$2:$G$73&gt;'GROUP 1'!$F$2:$F$73))</f>
        <v>0</v>
      </c>
      <c r="E29" s="2" cm="1">
        <f t="array" ref="E29">SUMPRODUCT((('GROUP 1'!$D$2:$D$73=B29)+('GROUP 1'!$E$2:$E$73=B29))*('GROUP 1'!$F$2:$F$73='GROUP 1'!$G$2:$G$73))</f>
        <v>1</v>
      </c>
      <c r="F29" s="2">
        <f t="shared" si="0"/>
        <v>2</v>
      </c>
      <c r="G29" s="2">
        <f>SUMIF('GROUP 1'!D:D,B29,'GROUP 1'!F:F)+SUMIF('GROUP 1'!E:E,B29,'GROUP 1'!G:G)</f>
        <v>4</v>
      </c>
      <c r="H29" s="2">
        <f>SUMIF('GROUP 1'!D:D,B29,'GROUP 1'!G:G)+SUMIF('GROUP 1'!E:E,B29,'GROUP 1'!F:F)</f>
        <v>10</v>
      </c>
      <c r="I29" s="2">
        <f t="shared" si="1"/>
        <v>-6</v>
      </c>
      <c r="J29" s="2">
        <f t="shared" si="2"/>
        <v>1</v>
      </c>
      <c r="R29"/>
    </row>
    <row r="30" spans="1:18" ht="18" x14ac:dyDescent="0.3">
      <c r="A30" s="2" t="s">
        <v>98</v>
      </c>
      <c r="B30" s="2" t="s">
        <v>64</v>
      </c>
      <c r="C30" s="2">
        <f>COUNTIF('GROUP 1'!D:D,B30)+COUNTIF('GROUP 1'!E:E,B30)</f>
        <v>3</v>
      </c>
      <c r="D30" s="2" cm="1">
        <f t="array" ref="D30">SUMPRODUCT(('GROUP 1'!$D$2:$D$73=B30)*('GROUP 1'!$F$2:$F$73&gt;'GROUP 1'!$G$2:$G$73))+SUMPRODUCT(('GROUP 1'!$E$2:$E$73=B30)*('GROUP 1'!$G$2:$G$73&gt;'GROUP 1'!$F$2:$F$73))</f>
        <v>2</v>
      </c>
      <c r="E30" s="2" cm="1">
        <f t="array" ref="E30">SUMPRODUCT((('GROUP 1'!$D$2:$D$73=B30)+('GROUP 1'!$E$2:$E$73=B30))*('GROUP 1'!$F$2:$F$73='GROUP 1'!$G$2:$G$73))</f>
        <v>1</v>
      </c>
      <c r="F30" s="2">
        <f t="shared" si="0"/>
        <v>0</v>
      </c>
      <c r="G30" s="2">
        <f>SUMIF('GROUP 1'!D:D,B30,'GROUP 1'!F:F)+SUMIF('GROUP 1'!E:E,B30,'GROUP 1'!G:G)</f>
        <v>5</v>
      </c>
      <c r="H30" s="2">
        <f>SUMIF('GROUP 1'!D:D,B30,'GROUP 1'!G:G)+SUMIF('GROUP 1'!E:E,B30,'GROUP 1'!F:F)</f>
        <v>0</v>
      </c>
      <c r="I30" s="2">
        <f t="shared" si="1"/>
        <v>5</v>
      </c>
      <c r="J30" s="2">
        <f t="shared" si="2"/>
        <v>7</v>
      </c>
      <c r="R30"/>
    </row>
    <row r="31" spans="1:18" ht="18" x14ac:dyDescent="0.3">
      <c r="A31" s="2" t="s">
        <v>98</v>
      </c>
      <c r="B31" s="2" t="s">
        <v>65</v>
      </c>
      <c r="C31" s="2">
        <f>COUNTIF('GROUP 1'!D:D,B31)+COUNTIF('GROUP 1'!E:E,B31)</f>
        <v>3</v>
      </c>
      <c r="D31" s="2" cm="1">
        <f t="array" ref="D31">SUMPRODUCT(('GROUP 1'!$D$2:$D$73=B31)*('GROUP 1'!$F$2:$F$73&gt;'GROUP 1'!$G$2:$G$73))+SUMPRODUCT(('GROUP 1'!$E$2:$E$73=B31)*('GROUP 1'!$G$2:$G$73&gt;'GROUP 1'!$F$2:$F$73))</f>
        <v>0</v>
      </c>
      <c r="E31" s="2" cm="1">
        <f t="array" ref="E31">SUMPRODUCT((('GROUP 1'!$D$2:$D$73=B31)+('GROUP 1'!$E$2:$E$73=B31))*('GROUP 1'!$F$2:$F$73='GROUP 1'!$G$2:$G$73))</f>
        <v>3</v>
      </c>
      <c r="F31" s="2">
        <f t="shared" si="0"/>
        <v>0</v>
      </c>
      <c r="G31" s="2">
        <f>SUMIF('GROUP 1'!D:D,B31,'GROUP 1'!F:F)+SUMIF('GROUP 1'!E:E,B31,'GROUP 1'!G:G)</f>
        <v>2</v>
      </c>
      <c r="H31" s="2">
        <f>SUMIF('GROUP 1'!D:D,B31,'GROUP 1'!G:G)+SUMIF('GROUP 1'!E:E,B31,'GROUP 1'!F:F)</f>
        <v>2</v>
      </c>
      <c r="I31" s="2">
        <f t="shared" si="1"/>
        <v>0</v>
      </c>
      <c r="J31" s="2">
        <f t="shared" si="2"/>
        <v>3</v>
      </c>
      <c r="R31"/>
    </row>
    <row r="32" spans="1:18" ht="18" x14ac:dyDescent="0.3">
      <c r="A32" s="2" t="s">
        <v>98</v>
      </c>
      <c r="B32" s="2" t="s">
        <v>66</v>
      </c>
      <c r="C32" s="2">
        <f>COUNTIF('GROUP 1'!D:D,B32)+COUNTIF('GROUP 1'!E:E,B32)</f>
        <v>3</v>
      </c>
      <c r="D32" s="2" cm="1">
        <f t="array" ref="D32">SUMPRODUCT(('GROUP 1'!$D$2:$D$73=B32)*('GROUP 1'!$F$2:$F$73&gt;'GROUP 1'!$G$2:$G$73))+SUMPRODUCT(('GROUP 1'!$E$2:$E$73=B32)*('GROUP 1'!$G$2:$G$73&gt;'GROUP 1'!$F$2:$F$73))</f>
        <v>0</v>
      </c>
      <c r="E32" s="2" cm="1">
        <f t="array" ref="E32">SUMPRODUCT((('GROUP 1'!$D$2:$D$73=B32)+('GROUP 1'!$E$2:$E$73=B32))*('GROUP 1'!$F$2:$F$73='GROUP 1'!$G$2:$G$73))</f>
        <v>2</v>
      </c>
      <c r="F32" s="2">
        <f t="shared" si="0"/>
        <v>1</v>
      </c>
      <c r="G32" s="2">
        <f>SUMIF('GROUP 1'!D:D,B32,'GROUP 1'!F:F)+SUMIF('GROUP 1'!E:E,B32,'GROUP 1'!G:G)</f>
        <v>1</v>
      </c>
      <c r="H32" s="2">
        <f>SUMIF('GROUP 1'!D:D,B32,'GROUP 1'!G:G)+SUMIF('GROUP 1'!E:E,B32,'GROUP 1'!F:F)</f>
        <v>5</v>
      </c>
      <c r="I32" s="2">
        <f t="shared" si="1"/>
        <v>-4</v>
      </c>
      <c r="J32" s="2">
        <f t="shared" si="2"/>
        <v>2</v>
      </c>
      <c r="R32"/>
    </row>
    <row r="33" spans="1:18" ht="18" x14ac:dyDescent="0.3">
      <c r="A33" s="2" t="s">
        <v>98</v>
      </c>
      <c r="B33" s="2" t="s">
        <v>67</v>
      </c>
      <c r="C33" s="2">
        <f>COUNTIF('GROUP 1'!D:D,B33)+COUNTIF('GROUP 1'!E:E,B33)</f>
        <v>3</v>
      </c>
      <c r="D33" s="2" cm="1">
        <f t="array" ref="D33">SUMPRODUCT(('GROUP 1'!$D$2:$D$73=B33)*('GROUP 1'!$F$2:$F$73&gt;'GROUP 1'!$G$2:$G$73))+SUMPRODUCT(('GROUP 1'!$E$2:$E$73=B33)*('GROUP 1'!$G$2:$G$73&gt;'GROUP 1'!$F$2:$F$73))</f>
        <v>0</v>
      </c>
      <c r="E33" s="2" cm="1">
        <f t="array" ref="E33">SUMPRODUCT((('GROUP 1'!$D$2:$D$73=B33)+('GROUP 1'!$E$2:$E$73=B33))*('GROUP 1'!$F$2:$F$73='GROUP 1'!$G$2:$G$73))</f>
        <v>2</v>
      </c>
      <c r="F33" s="2">
        <f t="shared" si="0"/>
        <v>1</v>
      </c>
      <c r="G33" s="2">
        <f>SUMIF('GROUP 1'!D:D,B33,'GROUP 1'!F:F)+SUMIF('GROUP 1'!E:E,B33,'GROUP 1'!G:G)</f>
        <v>3</v>
      </c>
      <c r="H33" s="2">
        <f>SUMIF('GROUP 1'!D:D,B33,'GROUP 1'!G:G)+SUMIF('GROUP 1'!E:E,B33,'GROUP 1'!F:F)</f>
        <v>4</v>
      </c>
      <c r="I33" s="2">
        <f t="shared" si="1"/>
        <v>-1</v>
      </c>
      <c r="J33" s="2">
        <f t="shared" si="2"/>
        <v>2</v>
      </c>
      <c r="R33"/>
    </row>
    <row r="34" spans="1:18" ht="18" x14ac:dyDescent="0.3">
      <c r="A34" s="2" t="s">
        <v>99</v>
      </c>
      <c r="B34" s="2" t="s">
        <v>70</v>
      </c>
      <c r="C34" s="2">
        <f>COUNTIF('GROUP 1'!D:D,B34)+COUNTIF('GROUP 1'!E:E,B34)</f>
        <v>3</v>
      </c>
      <c r="D34" s="2" cm="1">
        <f t="array" ref="D34">SUMPRODUCT(('GROUP 1'!$D$2:$D$73=B34)*('GROUP 1'!$F$2:$F$73&gt;'GROUP 1'!$G$2:$G$73))+SUMPRODUCT(('GROUP 1'!$E$2:$E$73=B34)*('GROUP 1'!$G$2:$G$73&gt;'GROUP 1'!$F$2:$F$73))</f>
        <v>3</v>
      </c>
      <c r="E34" s="2" cm="1">
        <f t="array" ref="E34">SUMPRODUCT((('GROUP 1'!$D$2:$D$73=B34)+('GROUP 1'!$E$2:$E$73=B34))*('GROUP 1'!$F$2:$F$73='GROUP 1'!$G$2:$G$73))</f>
        <v>0</v>
      </c>
      <c r="F34" s="2">
        <f t="shared" si="0"/>
        <v>0</v>
      </c>
      <c r="G34" s="2">
        <f>SUMIF('GROUP 1'!D:D,B34,'GROUP 1'!F:F)+SUMIF('GROUP 1'!E:E,B34,'GROUP 1'!G:G)</f>
        <v>10</v>
      </c>
      <c r="H34" s="2">
        <f>SUMIF('GROUP 1'!D:D,B34,'GROUP 1'!G:G)+SUMIF('GROUP 1'!E:E,B34,'GROUP 1'!F:F)</f>
        <v>2</v>
      </c>
      <c r="I34" s="2">
        <f t="shared" si="1"/>
        <v>8</v>
      </c>
      <c r="J34" s="2">
        <f t="shared" si="2"/>
        <v>9</v>
      </c>
      <c r="R34"/>
    </row>
    <row r="35" spans="1:18" ht="18" x14ac:dyDescent="0.3">
      <c r="A35" s="2" t="s">
        <v>99</v>
      </c>
      <c r="B35" s="2" t="s">
        <v>72</v>
      </c>
      <c r="C35" s="2">
        <f>COUNTIF('GROUP 1'!D:D,B35)+COUNTIF('GROUP 1'!E:E,B35)</f>
        <v>3</v>
      </c>
      <c r="D35" s="2" cm="1">
        <f t="array" ref="D35">SUMPRODUCT(('GROUP 1'!$D$2:$D$73=B35)*('GROUP 1'!$F$2:$F$73&gt;'GROUP 1'!$G$2:$G$73))+SUMPRODUCT(('GROUP 1'!$E$2:$E$73=B35)*('GROUP 1'!$G$2:$G$73&gt;'GROUP 1'!$F$2:$F$73))</f>
        <v>2</v>
      </c>
      <c r="E35" s="2" cm="1">
        <f t="array" ref="E35">SUMPRODUCT((('GROUP 1'!$D$2:$D$73=B35)+('GROUP 1'!$E$2:$E$73=B35))*('GROUP 1'!$F$2:$F$73='GROUP 1'!$G$2:$G$73))</f>
        <v>0</v>
      </c>
      <c r="F35" s="2">
        <f t="shared" si="0"/>
        <v>1</v>
      </c>
      <c r="G35" s="2">
        <f>SUMIF('GROUP 1'!D:D,B35,'GROUP 1'!F:F)+SUMIF('GROUP 1'!E:E,B35,'GROUP 1'!G:G)</f>
        <v>8</v>
      </c>
      <c r="H35" s="2">
        <f>SUMIF('GROUP 1'!D:D,B35,'GROUP 1'!G:G)+SUMIF('GROUP 1'!E:E,B35,'GROUP 1'!F:F)</f>
        <v>7</v>
      </c>
      <c r="I35" s="2">
        <f t="shared" si="1"/>
        <v>1</v>
      </c>
      <c r="J35" s="2">
        <f t="shared" si="2"/>
        <v>6</v>
      </c>
      <c r="R35"/>
    </row>
    <row r="36" spans="1:18" ht="18" x14ac:dyDescent="0.3">
      <c r="A36" s="2" t="s">
        <v>99</v>
      </c>
      <c r="B36" s="2" t="s">
        <v>71</v>
      </c>
      <c r="C36" s="2">
        <f>COUNTIF('GROUP 1'!D:D,B36)+COUNTIF('GROUP 1'!E:E,B36)</f>
        <v>3</v>
      </c>
      <c r="D36" s="2" cm="1">
        <f t="array" ref="D36">SUMPRODUCT(('GROUP 1'!$D$2:$D$73=B36)*('GROUP 1'!$F$2:$F$73&gt;'GROUP 1'!$G$2:$G$73))+SUMPRODUCT(('GROUP 1'!$E$2:$E$73=B36)*('GROUP 1'!$G$2:$G$73&gt;'GROUP 1'!$F$2:$F$73))</f>
        <v>1</v>
      </c>
      <c r="E36" s="2" cm="1">
        <f t="array" ref="E36">SUMPRODUCT((('GROUP 1'!$D$2:$D$73=B36)+('GROUP 1'!$E$2:$E$73=B36))*('GROUP 1'!$F$2:$F$73='GROUP 1'!$G$2:$G$73))</f>
        <v>0</v>
      </c>
      <c r="F36" s="2">
        <f t="shared" si="0"/>
        <v>2</v>
      </c>
      <c r="G36" s="2">
        <f>SUMIF('GROUP 1'!D:D,B36,'GROUP 1'!F:F)+SUMIF('GROUP 1'!E:E,B36,'GROUP 1'!G:G)</f>
        <v>8</v>
      </c>
      <c r="H36" s="2">
        <f>SUMIF('GROUP 1'!D:D,B36,'GROUP 1'!G:G)+SUMIF('GROUP 1'!E:E,B36,'GROUP 1'!F:F)</f>
        <v>6</v>
      </c>
      <c r="I36" s="2">
        <f t="shared" si="1"/>
        <v>2</v>
      </c>
      <c r="J36" s="2">
        <f t="shared" si="2"/>
        <v>3</v>
      </c>
      <c r="R36"/>
    </row>
    <row r="37" spans="1:18" ht="18" x14ac:dyDescent="0.3">
      <c r="A37" s="2" t="s">
        <v>99</v>
      </c>
      <c r="B37" s="2" t="s">
        <v>73</v>
      </c>
      <c r="C37" s="2">
        <f>COUNTIF('GROUP 1'!D:D,B37)+COUNTIF('GROUP 1'!E:E,B37)</f>
        <v>3</v>
      </c>
      <c r="D37" s="2" cm="1">
        <f t="array" ref="D37">SUMPRODUCT(('GROUP 1'!$D$2:$D$73=B37)*('GROUP 1'!$F$2:$F$73&gt;'GROUP 1'!$G$2:$G$73))+SUMPRODUCT(('GROUP 1'!$E$2:$E$73=B37)*('GROUP 1'!$G$2:$G$73&gt;'GROUP 1'!$F$2:$F$73))</f>
        <v>0</v>
      </c>
      <c r="E37" s="2" cm="1">
        <f t="array" ref="E37">SUMPRODUCT((('GROUP 1'!$D$2:$D$73=B37)+('GROUP 1'!$E$2:$E$73=B37))*('GROUP 1'!$F$2:$F$73='GROUP 1'!$G$2:$G$73))</f>
        <v>0</v>
      </c>
      <c r="F37" s="2">
        <f t="shared" si="0"/>
        <v>3</v>
      </c>
      <c r="G37" s="2">
        <f>SUMIF('GROUP 1'!D:D,B37,'GROUP 1'!F:F)+SUMIF('GROUP 1'!E:E,B37,'GROUP 1'!G:G)</f>
        <v>1</v>
      </c>
      <c r="H37" s="2">
        <f>SUMIF('GROUP 1'!D:D,B37,'GROUP 1'!G:G)+SUMIF('GROUP 1'!E:E,B37,'GROUP 1'!F:F)</f>
        <v>12</v>
      </c>
      <c r="I37" s="2">
        <f t="shared" si="1"/>
        <v>-11</v>
      </c>
      <c r="J37" s="2">
        <f t="shared" si="2"/>
        <v>0</v>
      </c>
      <c r="R37"/>
    </row>
    <row r="38" spans="1:18" ht="18" x14ac:dyDescent="0.3">
      <c r="A38" s="2" t="s">
        <v>100</v>
      </c>
      <c r="B38" s="2" t="s">
        <v>76</v>
      </c>
      <c r="C38" s="2">
        <f>COUNTIF('GROUP 1'!D:D,B38)+COUNTIF('GROUP 1'!E:E,B38)</f>
        <v>3</v>
      </c>
      <c r="D38" s="2" cm="1">
        <f t="array" ref="D38">SUMPRODUCT(('GROUP 1'!$D$2:$D$73=B38)*('GROUP 1'!$F$2:$F$73&gt;'GROUP 1'!$G$2:$G$73))+SUMPRODUCT(('GROUP 1'!$E$2:$E$73=B38)*('GROUP 1'!$G$2:$G$73&gt;'GROUP 1'!$F$2:$F$73))</f>
        <v>3</v>
      </c>
      <c r="E38" s="2" cm="1">
        <f t="array" ref="E38">SUMPRODUCT((('GROUP 1'!$D$2:$D$73=B38)+('GROUP 1'!$E$2:$E$73=B38))*('GROUP 1'!$F$2:$F$73='GROUP 1'!$G$2:$G$73))</f>
        <v>0</v>
      </c>
      <c r="F38" s="2">
        <f t="shared" si="0"/>
        <v>0</v>
      </c>
      <c r="G38" s="2">
        <f>SUMIF('GROUP 1'!D:D,B38,'GROUP 1'!F:F)+SUMIF('GROUP 1'!E:E,B38,'GROUP 1'!G:G)</f>
        <v>8</v>
      </c>
      <c r="H38" s="2">
        <f>SUMIF('GROUP 1'!D:D,B38,'GROUP 1'!G:G)+SUMIF('GROUP 1'!E:E,B38,'GROUP 1'!F:F)</f>
        <v>1</v>
      </c>
      <c r="I38" s="2">
        <f t="shared" si="1"/>
        <v>7</v>
      </c>
      <c r="J38" s="2">
        <f t="shared" si="2"/>
        <v>9</v>
      </c>
      <c r="R38"/>
    </row>
    <row r="39" spans="1:18" ht="18" x14ac:dyDescent="0.3">
      <c r="A39" s="2" t="s">
        <v>100</v>
      </c>
      <c r="B39" s="2" t="s">
        <v>78</v>
      </c>
      <c r="C39" s="2">
        <f>COUNTIF('GROUP 1'!D:D,B39)+COUNTIF('GROUP 1'!E:E,B39)</f>
        <v>3</v>
      </c>
      <c r="D39" s="2" cm="1">
        <f t="array" ref="D39">SUMPRODUCT(('GROUP 1'!$D$2:$D$73=B39)*('GROUP 1'!$F$2:$F$73&gt;'GROUP 1'!$G$2:$G$73))+SUMPRODUCT(('GROUP 1'!$E$2:$E$73=B39)*('GROUP 1'!$G$2:$G$73&gt;'GROUP 1'!$F$2:$F$73))</f>
        <v>1</v>
      </c>
      <c r="E39" s="2" cm="1">
        <f t="array" ref="E39">SUMPRODUCT((('GROUP 1'!$D$2:$D$73=B39)+('GROUP 1'!$E$2:$E$73=B39))*('GROUP 1'!$F$2:$F$73='GROUP 1'!$G$2:$G$73))</f>
        <v>1</v>
      </c>
      <c r="F39" s="2">
        <f t="shared" si="0"/>
        <v>1</v>
      </c>
      <c r="G39" s="2">
        <f>SUMIF('GROUP 1'!D:D,B39,'GROUP 1'!F:F)+SUMIF('GROUP 1'!E:E,B39,'GROUP 1'!G:G)</f>
        <v>6</v>
      </c>
      <c r="H39" s="2">
        <f>SUMIF('GROUP 1'!D:D,B39,'GROUP 1'!G:G)+SUMIF('GROUP 1'!E:E,B39,'GROUP 1'!F:F)</f>
        <v>6</v>
      </c>
      <c r="I39" s="2">
        <f t="shared" si="1"/>
        <v>0</v>
      </c>
      <c r="J39" s="2">
        <f t="shared" si="2"/>
        <v>4</v>
      </c>
      <c r="R39"/>
    </row>
    <row r="40" spans="1:18" ht="18" x14ac:dyDescent="0.3">
      <c r="A40" s="2" t="s">
        <v>100</v>
      </c>
      <c r="B40" s="2" t="s">
        <v>77</v>
      </c>
      <c r="C40" s="2">
        <f>COUNTIF('GROUP 1'!D:D,B40)+COUNTIF('GROUP 1'!E:E,B40)</f>
        <v>3</v>
      </c>
      <c r="D40" s="2" cm="1">
        <f t="array" ref="D40">SUMPRODUCT(('GROUP 1'!$D$2:$D$73=B40)*('GROUP 1'!$F$2:$F$73&gt;'GROUP 1'!$G$2:$G$73))+SUMPRODUCT(('GROUP 1'!$E$2:$E$73=B40)*('GROUP 1'!$G$2:$G$73&gt;'GROUP 1'!$F$2:$F$73))</f>
        <v>1</v>
      </c>
      <c r="E40" s="2" cm="1">
        <f t="array" ref="E40">SUMPRODUCT((('GROUP 1'!$D$2:$D$73=B40)+('GROUP 1'!$E$2:$E$73=B40))*('GROUP 1'!$F$2:$F$73='GROUP 1'!$G$2:$G$73))</f>
        <v>1</v>
      </c>
      <c r="F40" s="2">
        <f t="shared" si="0"/>
        <v>1</v>
      </c>
      <c r="G40" s="2">
        <f>SUMIF('GROUP 1'!D:D,B40,'GROUP 1'!F:F)+SUMIF('GROUP 1'!E:E,B40,'GROUP 1'!G:G)</f>
        <v>5</v>
      </c>
      <c r="H40" s="2">
        <f>SUMIF('GROUP 1'!D:D,B40,'GROUP 1'!G:G)+SUMIF('GROUP 1'!E:E,B40,'GROUP 1'!F:F)</f>
        <v>7</v>
      </c>
      <c r="I40" s="2">
        <f t="shared" si="1"/>
        <v>-2</v>
      </c>
      <c r="J40" s="2">
        <f t="shared" si="2"/>
        <v>4</v>
      </c>
      <c r="R40"/>
    </row>
    <row r="41" spans="1:18" ht="18" x14ac:dyDescent="0.3">
      <c r="A41" s="2" t="s">
        <v>100</v>
      </c>
      <c r="B41" s="2" t="s">
        <v>79</v>
      </c>
      <c r="C41" s="2">
        <f>COUNTIF('GROUP 1'!D:D,B41)+COUNTIF('GROUP 1'!E:E,B41)</f>
        <v>3</v>
      </c>
      <c r="D41" s="2" cm="1">
        <f t="array" ref="D41">SUMPRODUCT(('GROUP 1'!$D$2:$D$73=B41)*('GROUP 1'!$F$2:$F$73&gt;'GROUP 1'!$G$2:$G$73))+SUMPRODUCT(('GROUP 1'!$E$2:$E$73=B41)*('GROUP 1'!$G$2:$G$73&gt;'GROUP 1'!$F$2:$F$73))</f>
        <v>0</v>
      </c>
      <c r="E41" s="2" cm="1">
        <f t="array" ref="E41">SUMPRODUCT((('GROUP 1'!$D$2:$D$73=B41)+('GROUP 1'!$E$2:$E$73=B41))*('GROUP 1'!$F$2:$F$73='GROUP 1'!$G$2:$G$73))</f>
        <v>0</v>
      </c>
      <c r="F41" s="2">
        <f t="shared" si="0"/>
        <v>3</v>
      </c>
      <c r="G41" s="2">
        <f>SUMIF('GROUP 1'!D:D,B41,'GROUP 1'!F:F)+SUMIF('GROUP 1'!E:E,B41,'GROUP 1'!G:G)</f>
        <v>3</v>
      </c>
      <c r="H41" s="2">
        <f>SUMIF('GROUP 1'!D:D,B41,'GROUP 1'!G:G)+SUMIF('GROUP 1'!E:E,B41,'GROUP 1'!F:F)</f>
        <v>8</v>
      </c>
      <c r="I41" s="2">
        <f t="shared" si="1"/>
        <v>-5</v>
      </c>
      <c r="J41" s="2">
        <f t="shared" si="2"/>
        <v>0</v>
      </c>
      <c r="R41"/>
    </row>
    <row r="42" spans="1:18" ht="18" x14ac:dyDescent="0.3">
      <c r="A42" s="2" t="s">
        <v>101</v>
      </c>
      <c r="B42" s="2" t="s">
        <v>85</v>
      </c>
      <c r="C42" s="2">
        <f>COUNTIF('GROUP 1'!D:D,B42)+COUNTIF('GROUP 1'!E:E,B42)</f>
        <v>3</v>
      </c>
      <c r="D42" s="2" cm="1">
        <f t="array" ref="D42">SUMPRODUCT(('GROUP 1'!$D$2:$D$73=B42)*('GROUP 1'!$F$2:$F$73&gt;'GROUP 1'!$G$2:$G$73))+SUMPRODUCT(('GROUP 1'!$E$2:$E$73=B42)*('GROUP 1'!$G$2:$G$73&gt;'GROUP 1'!$F$2:$F$73))</f>
        <v>2</v>
      </c>
      <c r="E42" s="2" cm="1">
        <f t="array" ref="E42">SUMPRODUCT((('GROUP 1'!$D$2:$D$73=B42)+('GROUP 1'!$E$2:$E$73=B42))*('GROUP 1'!$F$2:$F$73='GROUP 1'!$G$2:$G$73))</f>
        <v>1</v>
      </c>
      <c r="F42" s="2">
        <f t="shared" si="0"/>
        <v>0</v>
      </c>
      <c r="G42" s="2">
        <f>SUMIF('GROUP 1'!D:D,B42,'GROUP 1'!F:F)+SUMIF('GROUP 1'!E:E,B42,'GROUP 1'!G:G)</f>
        <v>4</v>
      </c>
      <c r="H42" s="2">
        <f>SUMIF('GROUP 1'!D:D,B42,'GROUP 1'!G:G)+SUMIF('GROUP 1'!E:E,B42,'GROUP 1'!F:F)</f>
        <v>1</v>
      </c>
      <c r="I42" s="2">
        <f t="shared" si="1"/>
        <v>3</v>
      </c>
      <c r="J42" s="2">
        <f t="shared" si="2"/>
        <v>7</v>
      </c>
      <c r="R42"/>
    </row>
    <row r="43" spans="1:18" ht="18" x14ac:dyDescent="0.3">
      <c r="A43" s="2" t="s">
        <v>101</v>
      </c>
      <c r="B43" s="2" t="s">
        <v>83</v>
      </c>
      <c r="C43" s="2">
        <f>COUNTIF('GROUP 1'!D:D,B43)+COUNTIF('GROUP 1'!E:E,B43)</f>
        <v>3</v>
      </c>
      <c r="D43" s="2" cm="1">
        <f t="array" ref="D43">SUMPRODUCT(('GROUP 1'!$D$2:$D$73=B43)*('GROUP 1'!$F$2:$F$73&gt;'GROUP 1'!$G$2:$G$73))+SUMPRODUCT(('GROUP 1'!$E$2:$E$73=B43)*('GROUP 1'!$G$2:$G$73&gt;'GROUP 1'!$F$2:$F$73))</f>
        <v>1</v>
      </c>
      <c r="E43" s="2" cm="1">
        <f t="array" ref="E43">SUMPRODUCT((('GROUP 1'!$D$2:$D$73=B43)+('GROUP 1'!$E$2:$E$73=B43))*('GROUP 1'!$F$2:$F$73='GROUP 1'!$G$2:$G$73))</f>
        <v>2</v>
      </c>
      <c r="F43" s="2">
        <f t="shared" si="0"/>
        <v>0</v>
      </c>
      <c r="G43" s="2">
        <f>SUMIF('GROUP 1'!D:D,B43,'GROUP 1'!F:F)+SUMIF('GROUP 1'!E:E,B43,'GROUP 1'!G:G)</f>
        <v>6</v>
      </c>
      <c r="H43" s="2">
        <f>SUMIF('GROUP 1'!D:D,B43,'GROUP 1'!G:G)+SUMIF('GROUP 1'!E:E,B43,'GROUP 1'!F:F)</f>
        <v>1</v>
      </c>
      <c r="I43" s="2">
        <f t="shared" si="1"/>
        <v>5</v>
      </c>
      <c r="J43" s="2">
        <f t="shared" si="2"/>
        <v>5</v>
      </c>
      <c r="R43"/>
    </row>
    <row r="44" spans="1:18" ht="18" x14ac:dyDescent="0.3">
      <c r="A44" s="2" t="s">
        <v>101</v>
      </c>
      <c r="B44" s="2" t="s">
        <v>84</v>
      </c>
      <c r="C44" s="2">
        <f>COUNTIF('GROUP 1'!D:D,B44)+COUNTIF('GROUP 1'!E:E,B44)</f>
        <v>3</v>
      </c>
      <c r="D44" s="2" cm="1">
        <f t="array" ref="D44">SUMPRODUCT(('GROUP 1'!$D$2:$D$73=B44)*('GROUP 1'!$F$2:$F$73&gt;'GROUP 1'!$G$2:$G$73))+SUMPRODUCT(('GROUP 1'!$E$2:$E$73=B44)*('GROUP 1'!$G$2:$G$73&gt;'GROUP 1'!$F$2:$F$73))</f>
        <v>1</v>
      </c>
      <c r="E44" s="2" cm="1">
        <f t="array" ref="E44">SUMPRODUCT((('GROUP 1'!$D$2:$D$73=B44)+('GROUP 1'!$E$2:$E$73=B44))*('GROUP 1'!$F$2:$F$73='GROUP 1'!$G$2:$G$73))</f>
        <v>1</v>
      </c>
      <c r="F44" s="2">
        <f t="shared" si="0"/>
        <v>1</v>
      </c>
      <c r="G44" s="2">
        <f>SUMIF('GROUP 1'!D:D,B44,'GROUP 1'!F:F)+SUMIF('GROUP 1'!E:E,B44,'GROUP 1'!G:G)</f>
        <v>4</v>
      </c>
      <c r="H44" s="2">
        <f>SUMIF('GROUP 1'!D:D,B44,'GROUP 1'!G:G)+SUMIF('GROUP 1'!E:E,B44,'GROUP 1'!F:F)</f>
        <v>3</v>
      </c>
      <c r="I44" s="2">
        <f t="shared" si="1"/>
        <v>1</v>
      </c>
      <c r="J44" s="2">
        <f t="shared" si="2"/>
        <v>4</v>
      </c>
      <c r="R44"/>
    </row>
    <row r="45" spans="1:18" ht="18" x14ac:dyDescent="0.3">
      <c r="A45" s="2" t="s">
        <v>101</v>
      </c>
      <c r="B45" s="2" t="s">
        <v>86</v>
      </c>
      <c r="C45" s="2">
        <f>COUNTIF('GROUP 1'!D:D,B45)+COUNTIF('GROUP 1'!E:E,B45)</f>
        <v>3</v>
      </c>
      <c r="D45" s="2" cm="1">
        <f t="array" ref="D45">SUMPRODUCT(('GROUP 1'!$D$2:$D$73=B45)*('GROUP 1'!$F$2:$F$73&gt;'GROUP 1'!$G$2:$G$73))+SUMPRODUCT(('GROUP 1'!$E$2:$E$73=B45)*('GROUP 1'!$G$2:$G$73&gt;'GROUP 1'!$F$2:$F$73))</f>
        <v>0</v>
      </c>
      <c r="E45" s="2" cm="1">
        <f t="array" ref="E45">SUMPRODUCT((('GROUP 1'!$D$2:$D$73=B45)+('GROUP 1'!$E$2:$E$73=B45))*('GROUP 1'!$F$2:$F$73='GROUP 1'!$G$2:$G$73))</f>
        <v>0</v>
      </c>
      <c r="F45" s="2">
        <f t="shared" si="0"/>
        <v>3</v>
      </c>
      <c r="G45" s="2">
        <f>SUMIF('GROUP 1'!D:D,B45,'GROUP 1'!F:F)+SUMIF('GROUP 1'!E:E,B45,'GROUP 1'!G:G)</f>
        <v>2</v>
      </c>
      <c r="H45" s="2">
        <f>SUMIF('GROUP 1'!D:D,B45,'GROUP 1'!G:G)+SUMIF('GROUP 1'!E:E,B45,'GROUP 1'!F:F)</f>
        <v>11</v>
      </c>
      <c r="I45" s="2">
        <f t="shared" si="1"/>
        <v>-9</v>
      </c>
      <c r="J45" s="2">
        <f t="shared" si="2"/>
        <v>0</v>
      </c>
      <c r="R45"/>
    </row>
    <row r="46" spans="1:18" ht="18" x14ac:dyDescent="0.3">
      <c r="A46" s="2" t="s">
        <v>4</v>
      </c>
      <c r="B46" s="2" t="s">
        <v>89</v>
      </c>
      <c r="C46" s="2">
        <f>COUNTIF('GROUP 1'!D:D,B46)+COUNTIF('GROUP 1'!E:E,B46)</f>
        <v>3</v>
      </c>
      <c r="D46" s="2" cm="1">
        <f t="array" ref="D46">SUMPRODUCT(('GROUP 1'!$D$2:$D$73=B46)*('GROUP 1'!$F$2:$F$73&gt;'GROUP 1'!$G$2:$G$73))+SUMPRODUCT(('GROUP 1'!$E$2:$E$73=B46)*('GROUP 1'!$G$2:$G$73&gt;'GROUP 1'!$F$2:$F$73))</f>
        <v>2</v>
      </c>
      <c r="E46" s="2" cm="1">
        <f t="array" ref="E46">SUMPRODUCT((('GROUP 1'!$D$2:$D$73=B46)+('GROUP 1'!$E$2:$E$73=B46))*('GROUP 1'!$F$2:$F$73='GROUP 1'!$G$2:$G$73))</f>
        <v>1</v>
      </c>
      <c r="F46" s="2">
        <f t="shared" si="0"/>
        <v>0</v>
      </c>
      <c r="G46" s="2">
        <f>SUMIF('GROUP 1'!D:D,B46,'GROUP 1'!F:F)+SUMIF('GROUP 1'!E:E,B46,'GROUP 1'!G:G)</f>
        <v>6</v>
      </c>
      <c r="H46" s="2">
        <f>SUMIF('GROUP 1'!D:D,B46,'GROUP 1'!G:G)+SUMIF('GROUP 1'!E:E,B46,'GROUP 1'!F:F)</f>
        <v>2</v>
      </c>
      <c r="I46" s="2">
        <f t="shared" si="1"/>
        <v>4</v>
      </c>
      <c r="J46" s="2">
        <f t="shared" si="2"/>
        <v>7</v>
      </c>
      <c r="R46"/>
    </row>
    <row r="47" spans="1:18" ht="18" x14ac:dyDescent="0.3">
      <c r="A47" s="2" t="s">
        <v>4</v>
      </c>
      <c r="B47" s="2" t="s">
        <v>90</v>
      </c>
      <c r="C47" s="2">
        <f>COUNTIF('GROUP 1'!D:D,B47)+COUNTIF('GROUP 1'!E:E,B47)</f>
        <v>3</v>
      </c>
      <c r="D47" s="2" cm="1">
        <f t="array" ref="D47">SUMPRODUCT(('GROUP 1'!$D$2:$D$73=B47)*('GROUP 1'!$F$2:$F$73&gt;'GROUP 1'!$G$2:$G$73))+SUMPRODUCT(('GROUP 1'!$E$2:$E$73=B47)*('GROUP 1'!$G$2:$G$73&gt;'GROUP 1'!$F$2:$F$73))</f>
        <v>2</v>
      </c>
      <c r="E47" s="2" cm="1">
        <f t="array" ref="E47">SUMPRODUCT((('GROUP 1'!$D$2:$D$73=B47)+('GROUP 1'!$E$2:$E$73=B47))*('GROUP 1'!$F$2:$F$73='GROUP 1'!$G$2:$G$73))</f>
        <v>0</v>
      </c>
      <c r="F47" s="2">
        <f t="shared" si="0"/>
        <v>1</v>
      </c>
      <c r="G47" s="2">
        <f>SUMIF('GROUP 1'!D:D,B47,'GROUP 1'!F:F)+SUMIF('GROUP 1'!E:E,B47,'GROUP 1'!G:G)</f>
        <v>5</v>
      </c>
      <c r="H47" s="2">
        <f>SUMIF('GROUP 1'!D:D,B47,'GROUP 1'!G:G)+SUMIF('GROUP 1'!E:E,B47,'GROUP 1'!F:F)</f>
        <v>5</v>
      </c>
      <c r="I47" s="2">
        <f t="shared" si="1"/>
        <v>0</v>
      </c>
      <c r="J47" s="2">
        <f t="shared" si="2"/>
        <v>6</v>
      </c>
      <c r="R47"/>
    </row>
    <row r="48" spans="1:18" ht="18" x14ac:dyDescent="0.3">
      <c r="A48" s="2" t="s">
        <v>4</v>
      </c>
      <c r="B48" s="2" t="s">
        <v>91</v>
      </c>
      <c r="C48" s="2">
        <f>COUNTIF('GROUP 1'!D:D,B48)+COUNTIF('GROUP 1'!E:E,B48)</f>
        <v>3</v>
      </c>
      <c r="D48" s="2" cm="1">
        <f t="array" ref="D48">SUMPRODUCT(('GROUP 1'!$D$2:$D$73=B48)*('GROUP 1'!$F$2:$F$73&gt;'GROUP 1'!$G$2:$G$73))+SUMPRODUCT(('GROUP 1'!$E$2:$E$73=B48)*('GROUP 1'!$G$2:$G$73&gt;'GROUP 1'!$F$2:$F$73))</f>
        <v>1</v>
      </c>
      <c r="E48" s="2" cm="1">
        <f t="array" ref="E48">SUMPRODUCT((('GROUP 1'!$D$2:$D$73=B48)+('GROUP 1'!$E$2:$E$73=B48))*('GROUP 1'!$F$2:$F$73='GROUP 1'!$G$2:$G$73))</f>
        <v>1</v>
      </c>
      <c r="F48" s="2">
        <f t="shared" si="0"/>
        <v>1</v>
      </c>
      <c r="G48" s="2">
        <f>SUMIF('GROUP 1'!D:D,B48,'GROUP 1'!F:F)+SUMIF('GROUP 1'!E:E,B48,'GROUP 1'!G:G)</f>
        <v>2</v>
      </c>
      <c r="H48" s="2">
        <f>SUMIF('GROUP 1'!D:D,B48,'GROUP 1'!G:G)+SUMIF('GROUP 1'!E:E,B48,'GROUP 1'!F:F)</f>
        <v>2</v>
      </c>
      <c r="I48" s="2">
        <f t="shared" si="1"/>
        <v>0</v>
      </c>
      <c r="J48" s="2">
        <f t="shared" si="2"/>
        <v>4</v>
      </c>
      <c r="R48"/>
    </row>
    <row r="49" spans="1:18" ht="18" x14ac:dyDescent="0.3">
      <c r="A49" s="2" t="s">
        <v>4</v>
      </c>
      <c r="B49" s="2" t="s">
        <v>92</v>
      </c>
      <c r="C49" s="2">
        <f>COUNTIF('GROUP 1'!D:D,B49)+COUNTIF('GROUP 1'!E:E,B49)</f>
        <v>3</v>
      </c>
      <c r="D49" s="2" cm="1">
        <f t="array" ref="D49">SUMPRODUCT(('GROUP 1'!$D$2:$D$73=B49)*('GROUP 1'!$F$2:$F$73&gt;'GROUP 1'!$G$2:$G$73))+SUMPRODUCT(('GROUP 1'!$E$2:$E$73=B49)*('GROUP 1'!$G$2:$G$73&gt;'GROUP 1'!$F$2:$F$73))</f>
        <v>0</v>
      </c>
      <c r="E49" s="2" cm="1">
        <f t="array" ref="E49">SUMPRODUCT((('GROUP 1'!$D$2:$D$73=B49)+('GROUP 1'!$E$2:$E$73=B49))*('GROUP 1'!$F$2:$F$73='GROUP 1'!$G$2:$G$73))</f>
        <v>0</v>
      </c>
      <c r="F49" s="2">
        <f t="shared" si="0"/>
        <v>3</v>
      </c>
      <c r="G49" s="2">
        <f>SUMIF('GROUP 1'!D:D,B49,'GROUP 1'!F:F)+SUMIF('GROUP 1'!E:E,B49,'GROUP 1'!G:G)</f>
        <v>0</v>
      </c>
      <c r="H49" s="2">
        <f>SUMIF('GROUP 1'!D:D,B49,'GROUP 1'!G:G)+SUMIF('GROUP 1'!E:E,B49,'GROUP 1'!F:F)</f>
        <v>4</v>
      </c>
      <c r="I49" s="2">
        <f t="shared" si="1"/>
        <v>-4</v>
      </c>
      <c r="J49" s="2">
        <f t="shared" si="2"/>
        <v>0</v>
      </c>
      <c r="R49"/>
    </row>
    <row r="50" spans="1:18" x14ac:dyDescent="0.3">
      <c r="R50"/>
    </row>
    <row r="51" spans="1:18" x14ac:dyDescent="0.3">
      <c r="R51"/>
    </row>
    <row r="52" spans="1:18" x14ac:dyDescent="0.3">
      <c r="R52"/>
    </row>
    <row r="53" spans="1:18" x14ac:dyDescent="0.3">
      <c r="R53"/>
    </row>
    <row r="54" spans="1:18" x14ac:dyDescent="0.3">
      <c r="R54"/>
    </row>
    <row r="55" spans="1:18" x14ac:dyDescent="0.3">
      <c r="R55"/>
    </row>
    <row r="56" spans="1:18" x14ac:dyDescent="0.3">
      <c r="R56"/>
    </row>
    <row r="57" spans="1:18" x14ac:dyDescent="0.3">
      <c r="R57"/>
    </row>
    <row r="58" spans="1:18" x14ac:dyDescent="0.3">
      <c r="R58"/>
    </row>
    <row r="59" spans="1:18" x14ac:dyDescent="0.3">
      <c r="R59"/>
    </row>
    <row r="60" spans="1:18" x14ac:dyDescent="0.3">
      <c r="R60"/>
    </row>
    <row r="61" spans="1:18" x14ac:dyDescent="0.3">
      <c r="R61"/>
    </row>
    <row r="62" spans="1:18" x14ac:dyDescent="0.3">
      <c r="R62"/>
    </row>
    <row r="63" spans="1:18" x14ac:dyDescent="0.3">
      <c r="R63"/>
    </row>
    <row r="64" spans="1:18" x14ac:dyDescent="0.3">
      <c r="R64"/>
    </row>
    <row r="65" spans="18:18" x14ac:dyDescent="0.3">
      <c r="R65"/>
    </row>
    <row r="66" spans="18:18" x14ac:dyDescent="0.3">
      <c r="R66"/>
    </row>
    <row r="67" spans="18:18" x14ac:dyDescent="0.3">
      <c r="R6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</vt:lpstr>
      <vt:lpstr>FIFA-2026 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Hussain, Sara</dc:creator>
  <cp:lastModifiedBy>Hussain, Sara</cp:lastModifiedBy>
  <dcterms:created xsi:type="dcterms:W3CDTF">2026-06-27T03:41:39Z</dcterms:created>
  <dcterms:modified xsi:type="dcterms:W3CDTF">2026-08-21T04:13:54Z</dcterms:modified>
</cp:coreProperties>
</file>